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boscoy_yu_mail_utoronto_ca/Documents/"/>
    </mc:Choice>
  </mc:AlternateContent>
  <xr:revisionPtr revIDLastSave="4" documentId="8_{F776C34E-8D05-45BE-878A-7D60A8C4928B}" xr6:coauthVersionLast="47" xr6:coauthVersionMax="47" xr10:uidLastSave="{291F79B8-F58A-472D-BC76-AB150801EC28}"/>
  <bookViews>
    <workbookView xWindow="-98" yWindow="-98" windowWidth="21795" windowHeight="11625" tabRatio="500" activeTab="1" xr2:uid="{00000000-000D-0000-FFFF-FFFF00000000}"/>
  </bookViews>
  <sheets>
    <sheet name="Cover" sheetId="1" r:id="rId1"/>
    <sheet name="IS" sheetId="2" r:id="rId2"/>
    <sheet name="BS" sheetId="3" r:id="rId3"/>
    <sheet name="CFS" sheetId="4" r:id="rId4"/>
    <sheet name="WACC" sheetId="5" r:id="rId5"/>
    <sheet name="DCF" sheetId="6" r:id="rId6"/>
  </sheets>
  <definedNames>
    <definedName name="_xlnm.Print_Titles" localSheetId="1">IS!$1:$2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1" l="1"/>
  <c r="C63" i="6"/>
  <c r="E59" i="6"/>
  <c r="H48" i="6"/>
  <c r="G48" i="6"/>
  <c r="F48" i="6"/>
  <c r="E48" i="6"/>
  <c r="D48" i="6"/>
  <c r="E40" i="6"/>
  <c r="C40" i="6"/>
  <c r="E34" i="6"/>
  <c r="C34" i="6"/>
  <c r="E33" i="6"/>
  <c r="C33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C31" i="5"/>
  <c r="C33" i="5" s="1"/>
  <c r="C16" i="5" s="1"/>
  <c r="C11" i="5"/>
  <c r="C12" i="5" s="1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F17" i="4"/>
  <c r="E17" i="4"/>
  <c r="D17" i="4"/>
  <c r="C17" i="4"/>
  <c r="F5" i="4"/>
  <c r="E5" i="4"/>
  <c r="D5" i="4"/>
  <c r="C5" i="4"/>
  <c r="F48" i="3"/>
  <c r="E48" i="3"/>
  <c r="D48" i="3"/>
  <c r="C48" i="3"/>
  <c r="F45" i="3"/>
  <c r="E45" i="3"/>
  <c r="D45" i="3"/>
  <c r="C45" i="3"/>
  <c r="F36" i="3"/>
  <c r="E36" i="3"/>
  <c r="D36" i="3"/>
  <c r="C36" i="3"/>
  <c r="F30" i="3"/>
  <c r="E30" i="3"/>
  <c r="D30" i="3"/>
  <c r="C30" i="3"/>
  <c r="G29" i="3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G27" i="3"/>
  <c r="F25" i="3"/>
  <c r="F31" i="3" s="1"/>
  <c r="F37" i="3" s="1"/>
  <c r="E25" i="3"/>
  <c r="E31" i="3" s="1"/>
  <c r="E37" i="3" s="1"/>
  <c r="D25" i="3"/>
  <c r="D31" i="3" s="1"/>
  <c r="D37" i="3" s="1"/>
  <c r="C25" i="3"/>
  <c r="C31" i="3" s="1"/>
  <c r="C37" i="3" s="1"/>
  <c r="F17" i="3"/>
  <c r="E17" i="3"/>
  <c r="D17" i="3"/>
  <c r="C17" i="3"/>
  <c r="G16" i="3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G15" i="3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G14" i="3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F10" i="3"/>
  <c r="F18" i="3" s="1"/>
  <c r="F38" i="3" s="1"/>
  <c r="E10" i="3"/>
  <c r="E18" i="3" s="1"/>
  <c r="E38" i="3" s="1"/>
  <c r="D10" i="3"/>
  <c r="D18" i="3" s="1"/>
  <c r="D38" i="3" s="1"/>
  <c r="C10" i="3"/>
  <c r="C18" i="3" s="1"/>
  <c r="C38" i="3" s="1"/>
  <c r="G6" i="3"/>
  <c r="F17" i="2"/>
  <c r="E17" i="2"/>
  <c r="D17" i="2"/>
  <c r="C17" i="2"/>
  <c r="F5" i="2"/>
  <c r="E5" i="2"/>
  <c r="D5" i="2"/>
  <c r="C5" i="2"/>
  <c r="G4" i="2"/>
  <c r="D31" i="1"/>
  <c r="C22" i="1"/>
  <c r="C21" i="1"/>
  <c r="C14" i="1"/>
  <c r="J6" i="1"/>
  <c r="I6" i="1"/>
  <c r="H6" i="1"/>
  <c r="H9" i="1" l="1"/>
  <c r="M9" i="1"/>
  <c r="K9" i="1"/>
  <c r="E38" i="6"/>
  <c r="C17" i="5"/>
  <c r="C38" i="6"/>
  <c r="C25" i="1"/>
  <c r="H27" i="3"/>
  <c r="F44" i="3"/>
  <c r="F49" i="3"/>
  <c r="F10" i="2"/>
  <c r="F33" i="2"/>
  <c r="F47" i="3"/>
  <c r="F34" i="2"/>
  <c r="F35" i="2"/>
  <c r="F36" i="2"/>
  <c r="F42" i="3"/>
  <c r="F50" i="3"/>
  <c r="F37" i="2"/>
  <c r="F38" i="2"/>
  <c r="F41" i="3"/>
  <c r="F46" i="3"/>
  <c r="F43" i="3"/>
  <c r="F6" i="2"/>
  <c r="E33" i="2"/>
  <c r="E50" i="3"/>
  <c r="E10" i="2"/>
  <c r="E49" i="3"/>
  <c r="E37" i="2"/>
  <c r="E6" i="2"/>
  <c r="E46" i="3"/>
  <c r="E44" i="3"/>
  <c r="E43" i="3"/>
  <c r="E42" i="3"/>
  <c r="E41" i="3"/>
  <c r="E47" i="3"/>
  <c r="E40" i="2"/>
  <c r="E38" i="2"/>
  <c r="E36" i="2"/>
  <c r="E35" i="2"/>
  <c r="E34" i="2"/>
  <c r="D10" i="2"/>
  <c r="D43" i="3"/>
  <c r="D49" i="3"/>
  <c r="D40" i="2"/>
  <c r="D42" i="3"/>
  <c r="D41" i="3"/>
  <c r="D37" i="2"/>
  <c r="D35" i="2"/>
  <c r="D34" i="2"/>
  <c r="D44" i="3"/>
  <c r="D36" i="2"/>
  <c r="D33" i="2"/>
  <c r="D38" i="2"/>
  <c r="D6" i="2"/>
  <c r="D50" i="3"/>
  <c r="D46" i="3"/>
  <c r="D47" i="3"/>
  <c r="C41" i="3"/>
  <c r="C35" i="2"/>
  <c r="C34" i="2"/>
  <c r="C44" i="3"/>
  <c r="C42" i="3"/>
  <c r="C33" i="2"/>
  <c r="C50" i="3"/>
  <c r="C10" i="2"/>
  <c r="C46" i="3"/>
  <c r="C38" i="2"/>
  <c r="C49" i="3"/>
  <c r="C37" i="2"/>
  <c r="C43" i="3"/>
  <c r="C47" i="3"/>
  <c r="C36" i="2"/>
  <c r="G5" i="2"/>
  <c r="H4" i="2"/>
  <c r="G8" i="3"/>
  <c r="N6" i="1"/>
  <c r="L6" i="1"/>
  <c r="M6" i="1"/>
  <c r="K6" i="1"/>
  <c r="C19" i="5" l="1"/>
  <c r="C21" i="5" s="1"/>
  <c r="C20" i="5"/>
  <c r="C6" i="5"/>
  <c r="C7" i="5" s="1"/>
  <c r="I27" i="3"/>
  <c r="F11" i="2"/>
  <c r="F22" i="2"/>
  <c r="F32" i="2"/>
  <c r="E11" i="2"/>
  <c r="E22" i="2"/>
  <c r="E32" i="2"/>
  <c r="D11" i="2"/>
  <c r="D22" i="2"/>
  <c r="D32" i="2"/>
  <c r="C11" i="2"/>
  <c r="C22" i="2"/>
  <c r="C32" i="2"/>
  <c r="G9" i="2"/>
  <c r="G24" i="2"/>
  <c r="G25" i="2"/>
  <c r="G9" i="3"/>
  <c r="G23" i="3"/>
  <c r="G24" i="3"/>
  <c r="G28" i="3"/>
  <c r="G13" i="4"/>
  <c r="G17" i="4" s="1"/>
  <c r="G4" i="6"/>
  <c r="G11" i="6" s="1"/>
  <c r="G6" i="4"/>
  <c r="G34" i="3" s="1"/>
  <c r="G6" i="2"/>
  <c r="G10" i="2"/>
  <c r="G14" i="2"/>
  <c r="G15" i="2"/>
  <c r="G16" i="2"/>
  <c r="G21" i="2"/>
  <c r="G12" i="3" s="1"/>
  <c r="H5" i="2"/>
  <c r="I4" i="2"/>
  <c r="H8" i="3"/>
  <c r="H6" i="3"/>
  <c r="J27" i="3" l="1"/>
  <c r="F23" i="2"/>
  <c r="F26" i="2"/>
  <c r="F28" i="2" s="1"/>
  <c r="F19" i="2"/>
  <c r="F20" i="2" s="1"/>
  <c r="E23" i="2"/>
  <c r="E26" i="2"/>
  <c r="E28" i="2" s="1"/>
  <c r="E19" i="2"/>
  <c r="E20" i="2" s="1"/>
  <c r="D23" i="2"/>
  <c r="D26" i="2"/>
  <c r="D28" i="2" s="1"/>
  <c r="D19" i="2"/>
  <c r="D20" i="2" s="1"/>
  <c r="C23" i="2"/>
  <c r="C26" i="2"/>
  <c r="C28" i="2" s="1"/>
  <c r="C19" i="2"/>
  <c r="C20" i="2" s="1"/>
  <c r="G7" i="3"/>
  <c r="G22" i="3"/>
  <c r="G25" i="3" s="1"/>
  <c r="G17" i="3"/>
  <c r="G30" i="3"/>
  <c r="G8" i="4"/>
  <c r="G11" i="2"/>
  <c r="G9" i="6"/>
  <c r="G5" i="4"/>
  <c r="H9" i="2"/>
  <c r="H10" i="2"/>
  <c r="H14" i="2"/>
  <c r="H15" i="2"/>
  <c r="H16" i="2"/>
  <c r="H21" i="2"/>
  <c r="H12" i="3" s="1"/>
  <c r="H24" i="2"/>
  <c r="H25" i="2"/>
  <c r="H9" i="3"/>
  <c r="H23" i="3"/>
  <c r="H24" i="3"/>
  <c r="H28" i="3"/>
  <c r="H13" i="4"/>
  <c r="H17" i="4" s="1"/>
  <c r="H4" i="6"/>
  <c r="H11" i="6" s="1"/>
  <c r="H6" i="4"/>
  <c r="H34" i="3" s="1"/>
  <c r="H6" i="2"/>
  <c r="J4" i="2"/>
  <c r="I5" i="2"/>
  <c r="I8" i="3"/>
  <c r="I6" i="3"/>
  <c r="G17" i="2"/>
  <c r="G22" i="2" s="1"/>
  <c r="C24" i="5"/>
  <c r="K27" i="3" l="1"/>
  <c r="F29" i="2"/>
  <c r="F4" i="4"/>
  <c r="F10" i="4" s="1"/>
  <c r="F25" i="4" s="1"/>
  <c r="E29" i="2"/>
  <c r="E4" i="4"/>
  <c r="E10" i="4" s="1"/>
  <c r="E25" i="4" s="1"/>
  <c r="D29" i="2"/>
  <c r="D4" i="4"/>
  <c r="D10" i="4" s="1"/>
  <c r="D25" i="4" s="1"/>
  <c r="C29" i="2"/>
  <c r="C4" i="4"/>
  <c r="C10" i="4" s="1"/>
  <c r="C25" i="4" s="1"/>
  <c r="I12" i="3"/>
  <c r="H17" i="3"/>
  <c r="I34" i="3"/>
  <c r="G23" i="2"/>
  <c r="G26" i="2"/>
  <c r="G5" i="6"/>
  <c r="G19" i="2"/>
  <c r="G20" i="2" s="1"/>
  <c r="H7" i="3"/>
  <c r="H22" i="3"/>
  <c r="H25" i="3" s="1"/>
  <c r="H11" i="2"/>
  <c r="H5" i="4"/>
  <c r="H9" i="6"/>
  <c r="H30" i="3"/>
  <c r="H8" i="4"/>
  <c r="J8" i="3"/>
  <c r="J6" i="3"/>
  <c r="K4" i="2"/>
  <c r="J5" i="2"/>
  <c r="I9" i="2"/>
  <c r="I24" i="2"/>
  <c r="I25" i="2"/>
  <c r="I9" i="3"/>
  <c r="I23" i="3"/>
  <c r="I24" i="3"/>
  <c r="I28" i="3"/>
  <c r="I13" i="4"/>
  <c r="I17" i="4" s="1"/>
  <c r="I4" i="6"/>
  <c r="I11" i="6" s="1"/>
  <c r="I6" i="4"/>
  <c r="I6" i="2"/>
  <c r="I10" i="2"/>
  <c r="I14" i="2"/>
  <c r="I15" i="2"/>
  <c r="I16" i="2"/>
  <c r="I21" i="2"/>
  <c r="C20" i="1"/>
  <c r="C51" i="6"/>
  <c r="C49" i="6"/>
  <c r="R18" i="6"/>
  <c r="O18" i="6"/>
  <c r="L18" i="6"/>
  <c r="S18" i="6"/>
  <c r="J18" i="6"/>
  <c r="H18" i="6"/>
  <c r="C53" i="6"/>
  <c r="C52" i="6"/>
  <c r="C50" i="6"/>
  <c r="T18" i="6"/>
  <c r="Q18" i="6"/>
  <c r="P18" i="6"/>
  <c r="N18" i="6"/>
  <c r="M18" i="6"/>
  <c r="K18" i="6"/>
  <c r="I18" i="6"/>
  <c r="G18" i="6"/>
  <c r="G9" i="4"/>
  <c r="G13" i="6" s="1"/>
  <c r="G12" i="6" s="1"/>
  <c r="G31" i="3"/>
  <c r="H17" i="2"/>
  <c r="H22" i="2" s="1"/>
  <c r="L27" i="3" l="1"/>
  <c r="I17" i="3"/>
  <c r="J34" i="3"/>
  <c r="G27" i="2"/>
  <c r="G28" i="2"/>
  <c r="G7" i="6"/>
  <c r="G8" i="6"/>
  <c r="G14" i="6" s="1"/>
  <c r="G19" i="6" s="1"/>
  <c r="H23" i="2"/>
  <c r="H26" i="2"/>
  <c r="H5" i="6"/>
  <c r="H19" i="2"/>
  <c r="H20" i="2" s="1"/>
  <c r="L4" i="2"/>
  <c r="K5" i="2"/>
  <c r="K8" i="3"/>
  <c r="K6" i="3"/>
  <c r="J14" i="2"/>
  <c r="J15" i="2"/>
  <c r="J16" i="2"/>
  <c r="J21" i="2"/>
  <c r="J12" i="3" s="1"/>
  <c r="J9" i="2"/>
  <c r="J10" i="2" s="1"/>
  <c r="J24" i="2"/>
  <c r="J25" i="2"/>
  <c r="J9" i="3"/>
  <c r="J23" i="3"/>
  <c r="J24" i="3"/>
  <c r="J28" i="3"/>
  <c r="J13" i="4"/>
  <c r="J17" i="4" s="1"/>
  <c r="J4" i="6"/>
  <c r="J11" i="6" s="1"/>
  <c r="J6" i="4"/>
  <c r="J6" i="2"/>
  <c r="I7" i="3"/>
  <c r="I22" i="3"/>
  <c r="I25" i="3" s="1"/>
  <c r="I30" i="3"/>
  <c r="I8" i="4"/>
  <c r="I11" i="2"/>
  <c r="I5" i="4"/>
  <c r="I9" i="6"/>
  <c r="H9" i="4"/>
  <c r="H13" i="6" s="1"/>
  <c r="H12" i="6" s="1"/>
  <c r="H31" i="3"/>
  <c r="I17" i="2"/>
  <c r="I22" i="2" s="1"/>
  <c r="M27" i="3" l="1"/>
  <c r="J17" i="3"/>
  <c r="K34" i="3"/>
  <c r="G29" i="2"/>
  <c r="G35" i="3"/>
  <c r="G4" i="4"/>
  <c r="G10" i="4" s="1"/>
  <c r="G25" i="4" s="1"/>
  <c r="G5" i="3" s="1"/>
  <c r="H27" i="2"/>
  <c r="H28" i="2"/>
  <c r="H7" i="6"/>
  <c r="H8" i="6"/>
  <c r="H14" i="6" s="1"/>
  <c r="M4" i="2"/>
  <c r="L8" i="3"/>
  <c r="L6" i="3"/>
  <c r="L5" i="2"/>
  <c r="K24" i="2"/>
  <c r="K25" i="2"/>
  <c r="K9" i="3"/>
  <c r="K23" i="3"/>
  <c r="K24" i="3"/>
  <c r="K28" i="3"/>
  <c r="K13" i="4"/>
  <c r="K17" i="4" s="1"/>
  <c r="K4" i="6"/>
  <c r="K11" i="6" s="1"/>
  <c r="K6" i="4"/>
  <c r="K6" i="2"/>
  <c r="K9" i="2"/>
  <c r="K10" i="2"/>
  <c r="K14" i="2"/>
  <c r="K15" i="2"/>
  <c r="K16" i="2"/>
  <c r="K21" i="2"/>
  <c r="K12" i="3" s="1"/>
  <c r="J11" i="2"/>
  <c r="J22" i="2"/>
  <c r="J9" i="6"/>
  <c r="J5" i="4"/>
  <c r="J7" i="3"/>
  <c r="J9" i="4" s="1"/>
  <c r="J22" i="3"/>
  <c r="J25" i="3" s="1"/>
  <c r="J30" i="3"/>
  <c r="J8" i="4"/>
  <c r="J13" i="6" s="1"/>
  <c r="J12" i="6" s="1"/>
  <c r="I23" i="2"/>
  <c r="I26" i="2"/>
  <c r="I5" i="6"/>
  <c r="I19" i="2"/>
  <c r="I20" i="2" s="1"/>
  <c r="J17" i="2"/>
  <c r="I9" i="4"/>
  <c r="I13" i="6" s="1"/>
  <c r="I12" i="6" s="1"/>
  <c r="I31" i="3"/>
  <c r="N27" i="3" l="1"/>
  <c r="L12" i="3"/>
  <c r="K17" i="3"/>
  <c r="G36" i="3"/>
  <c r="G37" i="3" s="1"/>
  <c r="H35" i="3"/>
  <c r="G10" i="3"/>
  <c r="G18" i="3" s="1"/>
  <c r="H29" i="2"/>
  <c r="H4" i="4"/>
  <c r="H10" i="4" s="1"/>
  <c r="H25" i="4" s="1"/>
  <c r="H5" i="3" s="1"/>
  <c r="H19" i="6"/>
  <c r="M8" i="3"/>
  <c r="M6" i="3"/>
  <c r="N4" i="2"/>
  <c r="M5" i="2"/>
  <c r="L14" i="2"/>
  <c r="L15" i="2"/>
  <c r="L16" i="2"/>
  <c r="L21" i="2"/>
  <c r="L9" i="2"/>
  <c r="L10" i="2" s="1"/>
  <c r="L24" i="2"/>
  <c r="L25" i="2"/>
  <c r="L9" i="3"/>
  <c r="L23" i="3"/>
  <c r="L24" i="3"/>
  <c r="L28" i="3"/>
  <c r="L13" i="4"/>
  <c r="L17" i="4" s="1"/>
  <c r="L4" i="6"/>
  <c r="L11" i="6" s="1"/>
  <c r="L6" i="4"/>
  <c r="L34" i="3" s="1"/>
  <c r="L6" i="2"/>
  <c r="K30" i="3"/>
  <c r="K8" i="4"/>
  <c r="K7" i="3"/>
  <c r="K9" i="4" s="1"/>
  <c r="K22" i="3"/>
  <c r="K25" i="3" s="1"/>
  <c r="K31" i="3" s="1"/>
  <c r="K11" i="2"/>
  <c r="K9" i="6"/>
  <c r="K5" i="4"/>
  <c r="J23" i="2"/>
  <c r="J26" i="2"/>
  <c r="J5" i="6"/>
  <c r="J19" i="2"/>
  <c r="J20" i="2" s="1"/>
  <c r="I27" i="2"/>
  <c r="I28" i="2" s="1"/>
  <c r="I7" i="6"/>
  <c r="I8" i="6" s="1"/>
  <c r="I14" i="6" s="1"/>
  <c r="K17" i="2"/>
  <c r="K22" i="2" s="1"/>
  <c r="J31" i="3"/>
  <c r="O27" i="3" l="1"/>
  <c r="L17" i="3"/>
  <c r="H36" i="3"/>
  <c r="H37" i="3" s="1"/>
  <c r="I35" i="3"/>
  <c r="H10" i="3"/>
  <c r="H18" i="3" s="1"/>
  <c r="H38" i="3" s="1"/>
  <c r="N5" i="2"/>
  <c r="O4" i="2"/>
  <c r="N8" i="3"/>
  <c r="N6" i="3"/>
  <c r="M9" i="2"/>
  <c r="M10" i="2" s="1"/>
  <c r="M14" i="2"/>
  <c r="M15" i="2"/>
  <c r="M16" i="2"/>
  <c r="M21" i="2"/>
  <c r="M12" i="3" s="1"/>
  <c r="M24" i="2"/>
  <c r="M25" i="2"/>
  <c r="M9" i="3"/>
  <c r="M23" i="3"/>
  <c r="M24" i="3"/>
  <c r="M28" i="3"/>
  <c r="M13" i="4"/>
  <c r="M17" i="4" s="1"/>
  <c r="M6" i="4"/>
  <c r="M34" i="3" s="1"/>
  <c r="M4" i="6"/>
  <c r="M11" i="6" s="1"/>
  <c r="M6" i="2"/>
  <c r="L11" i="2"/>
  <c r="L22" i="2"/>
  <c r="L5" i="4"/>
  <c r="L9" i="6"/>
  <c r="L7" i="3"/>
  <c r="L9" i="4" s="1"/>
  <c r="L22" i="3"/>
  <c r="L25" i="3" s="1"/>
  <c r="L31" i="3" s="1"/>
  <c r="L30" i="3"/>
  <c r="L8" i="4"/>
  <c r="L13" i="6" s="1"/>
  <c r="L12" i="6" s="1"/>
  <c r="K23" i="2"/>
  <c r="K26" i="2"/>
  <c r="K5" i="6"/>
  <c r="K19" i="2"/>
  <c r="K20" i="2" s="1"/>
  <c r="J27" i="2"/>
  <c r="J28" i="2"/>
  <c r="J7" i="6"/>
  <c r="J8" i="6" s="1"/>
  <c r="J14" i="6" s="1"/>
  <c r="I29" i="2"/>
  <c r="I4" i="4"/>
  <c r="I10" i="4" s="1"/>
  <c r="I25" i="4" s="1"/>
  <c r="I5" i="3" s="1"/>
  <c r="G38" i="3"/>
  <c r="L17" i="2"/>
  <c r="K13" i="6"/>
  <c r="K12" i="6" s="1"/>
  <c r="I19" i="6"/>
  <c r="P27" i="3" l="1"/>
  <c r="M17" i="3"/>
  <c r="I36" i="3"/>
  <c r="I37" i="3" s="1"/>
  <c r="J35" i="3"/>
  <c r="I10" i="3"/>
  <c r="I18" i="3" s="1"/>
  <c r="I38" i="3" s="1"/>
  <c r="N9" i="2"/>
  <c r="N10" i="2"/>
  <c r="N14" i="2"/>
  <c r="N17" i="2" s="1"/>
  <c r="N15" i="2"/>
  <c r="N16" i="2"/>
  <c r="N21" i="2"/>
  <c r="N12" i="3" s="1"/>
  <c r="N25" i="2"/>
  <c r="N24" i="2"/>
  <c r="N9" i="3"/>
  <c r="N23" i="3"/>
  <c r="N28" i="3"/>
  <c r="N13" i="4"/>
  <c r="N17" i="4" s="1"/>
  <c r="N4" i="6"/>
  <c r="N11" i="6" s="1"/>
  <c r="N24" i="3"/>
  <c r="N6" i="4"/>
  <c r="N34" i="3" s="1"/>
  <c r="N6" i="2"/>
  <c r="O8" i="3"/>
  <c r="O6" i="3"/>
  <c r="P4" i="2"/>
  <c r="O5" i="2"/>
  <c r="M7" i="3"/>
  <c r="M9" i="4" s="1"/>
  <c r="M22" i="3"/>
  <c r="M25" i="3" s="1"/>
  <c r="M11" i="2"/>
  <c r="M5" i="4"/>
  <c r="M9" i="6"/>
  <c r="M30" i="3"/>
  <c r="M8" i="4"/>
  <c r="M13" i="6" s="1"/>
  <c r="M12" i="6" s="1"/>
  <c r="L23" i="2"/>
  <c r="L26" i="2"/>
  <c r="L5" i="6"/>
  <c r="L19" i="2"/>
  <c r="L20" i="2" s="1"/>
  <c r="K27" i="2"/>
  <c r="K28" i="2" s="1"/>
  <c r="K7" i="6"/>
  <c r="K8" i="6" s="1"/>
  <c r="K14" i="6" s="1"/>
  <c r="K19" i="6" s="1"/>
  <c r="J29" i="2"/>
  <c r="J4" i="4"/>
  <c r="J10" i="4" s="1"/>
  <c r="J25" i="4" s="1"/>
  <c r="J5" i="3" s="1"/>
  <c r="M17" i="2"/>
  <c r="M22" i="2" s="1"/>
  <c r="J19" i="6"/>
  <c r="Q27" i="3" l="1"/>
  <c r="N17" i="3"/>
  <c r="J36" i="3"/>
  <c r="J37" i="3" s="1"/>
  <c r="K35" i="3"/>
  <c r="J10" i="3"/>
  <c r="J18" i="3" s="1"/>
  <c r="J38" i="3" s="1"/>
  <c r="N7" i="3"/>
  <c r="N22" i="3"/>
  <c r="N25" i="3" s="1"/>
  <c r="N11" i="2"/>
  <c r="N22" i="2"/>
  <c r="N9" i="6"/>
  <c r="N5" i="4"/>
  <c r="N30" i="3"/>
  <c r="N8" i="4"/>
  <c r="P5" i="2"/>
  <c r="Q4" i="2"/>
  <c r="P8" i="3"/>
  <c r="P6" i="3"/>
  <c r="O9" i="2"/>
  <c r="O10" i="2" s="1"/>
  <c r="O14" i="2"/>
  <c r="O17" i="2" s="1"/>
  <c r="O15" i="2"/>
  <c r="O16" i="2"/>
  <c r="O21" i="2"/>
  <c r="O12" i="3" s="1"/>
  <c r="O24" i="2"/>
  <c r="O25" i="2"/>
  <c r="O9" i="3"/>
  <c r="O23" i="3"/>
  <c r="O28" i="3"/>
  <c r="O13" i="4"/>
  <c r="O17" i="4" s="1"/>
  <c r="O4" i="6"/>
  <c r="O11" i="6" s="1"/>
  <c r="O24" i="3"/>
  <c r="O6" i="4"/>
  <c r="O34" i="3" s="1"/>
  <c r="O6" i="2"/>
  <c r="M23" i="2"/>
  <c r="M26" i="2"/>
  <c r="M5" i="6"/>
  <c r="M19" i="2"/>
  <c r="M20" i="2" s="1"/>
  <c r="L27" i="2"/>
  <c r="L28" i="2"/>
  <c r="L7" i="6"/>
  <c r="L8" i="6" s="1"/>
  <c r="L14" i="6" s="1"/>
  <c r="L19" i="6" s="1"/>
  <c r="K29" i="2"/>
  <c r="K4" i="4"/>
  <c r="K10" i="4" s="1"/>
  <c r="K25" i="4" s="1"/>
  <c r="K5" i="3" s="1"/>
  <c r="M31" i="3"/>
  <c r="R27" i="3" l="1"/>
  <c r="P12" i="3"/>
  <c r="O17" i="3"/>
  <c r="P34" i="3"/>
  <c r="K36" i="3"/>
  <c r="K37" i="3" s="1"/>
  <c r="L35" i="3"/>
  <c r="L5" i="3"/>
  <c r="K10" i="3"/>
  <c r="K18" i="3" s="1"/>
  <c r="K38" i="3" s="1"/>
  <c r="N23" i="2"/>
  <c r="N26" i="2"/>
  <c r="N5" i="6"/>
  <c r="N19" i="2"/>
  <c r="N20" i="2" s="1"/>
  <c r="P9" i="2"/>
  <c r="P10" i="2" s="1"/>
  <c r="P14" i="2"/>
  <c r="P15" i="2"/>
  <c r="P16" i="2"/>
  <c r="P21" i="2"/>
  <c r="P24" i="2"/>
  <c r="P25" i="2"/>
  <c r="P9" i="3"/>
  <c r="P23" i="3"/>
  <c r="P28" i="3"/>
  <c r="P24" i="3"/>
  <c r="P6" i="4"/>
  <c r="P13" i="4"/>
  <c r="P17" i="4" s="1"/>
  <c r="P4" i="6"/>
  <c r="P11" i="6" s="1"/>
  <c r="P6" i="2"/>
  <c r="R4" i="2"/>
  <c r="Q8" i="3"/>
  <c r="Q6" i="3"/>
  <c r="Q5" i="2"/>
  <c r="O7" i="3"/>
  <c r="O22" i="3"/>
  <c r="O25" i="3" s="1"/>
  <c r="O31" i="3" s="1"/>
  <c r="O11" i="2"/>
  <c r="O22" i="2"/>
  <c r="O5" i="4"/>
  <c r="O9" i="6"/>
  <c r="O30" i="3"/>
  <c r="O8" i="4"/>
  <c r="M27" i="2"/>
  <c r="M28" i="2"/>
  <c r="M7" i="6"/>
  <c r="M8" i="6"/>
  <c r="M14" i="6" s="1"/>
  <c r="M19" i="6" s="1"/>
  <c r="L29" i="2"/>
  <c r="L4" i="4"/>
  <c r="L10" i="4" s="1"/>
  <c r="L25" i="4" s="1"/>
  <c r="N9" i="4"/>
  <c r="N13" i="6" s="1"/>
  <c r="N12" i="6" s="1"/>
  <c r="N31" i="3"/>
  <c r="S27" i="3" l="1"/>
  <c r="Q12" i="3"/>
  <c r="P17" i="3"/>
  <c r="Q34" i="3"/>
  <c r="L36" i="3"/>
  <c r="L37" i="3" s="1"/>
  <c r="M35" i="3"/>
  <c r="M5" i="3"/>
  <c r="L10" i="3"/>
  <c r="L18" i="3" s="1"/>
  <c r="L38" i="3" s="1"/>
  <c r="N27" i="2"/>
  <c r="N28" i="2" s="1"/>
  <c r="N7" i="6"/>
  <c r="N8" i="6" s="1"/>
  <c r="N14" i="6" s="1"/>
  <c r="N19" i="6" s="1"/>
  <c r="P7" i="3"/>
  <c r="P22" i="3"/>
  <c r="P25" i="3" s="1"/>
  <c r="P31" i="3" s="1"/>
  <c r="P11" i="2"/>
  <c r="P22" i="2"/>
  <c r="P9" i="6"/>
  <c r="P5" i="4"/>
  <c r="P30" i="3"/>
  <c r="P8" i="4"/>
  <c r="R8" i="3"/>
  <c r="R6" i="3"/>
  <c r="S4" i="2"/>
  <c r="R5" i="2"/>
  <c r="Q6" i="2"/>
  <c r="Q9" i="2"/>
  <c r="Q10" i="2"/>
  <c r="Q14" i="2"/>
  <c r="Q15" i="2"/>
  <c r="Q16" i="2"/>
  <c r="Q21" i="2"/>
  <c r="Q24" i="2"/>
  <c r="Q25" i="2"/>
  <c r="Q9" i="3"/>
  <c r="Q23" i="3"/>
  <c r="Q28" i="3"/>
  <c r="Q13" i="4"/>
  <c r="Q17" i="4" s="1"/>
  <c r="Q24" i="3"/>
  <c r="Q4" i="6"/>
  <c r="Q11" i="6" s="1"/>
  <c r="Q6" i="4"/>
  <c r="O23" i="2"/>
  <c r="O26" i="2"/>
  <c r="O5" i="6"/>
  <c r="O19" i="2"/>
  <c r="O20" i="2" s="1"/>
  <c r="M29" i="2"/>
  <c r="M4" i="4"/>
  <c r="M10" i="4" s="1"/>
  <c r="M25" i="4" s="1"/>
  <c r="O9" i="4"/>
  <c r="O13" i="6" s="1"/>
  <c r="O12" i="6" s="1"/>
  <c r="P17" i="2"/>
  <c r="T27" i="3" l="1"/>
  <c r="R12" i="3"/>
  <c r="Q17" i="3"/>
  <c r="R34" i="3"/>
  <c r="M36" i="3"/>
  <c r="M37" i="3" s="1"/>
  <c r="N35" i="3"/>
  <c r="M10" i="3"/>
  <c r="M18" i="3" s="1"/>
  <c r="M38" i="3" s="1"/>
  <c r="N29" i="2"/>
  <c r="N4" i="4"/>
  <c r="N10" i="4" s="1"/>
  <c r="N25" i="4" s="1"/>
  <c r="N5" i="3" s="1"/>
  <c r="P23" i="2"/>
  <c r="P26" i="2"/>
  <c r="P5" i="6"/>
  <c r="P19" i="2"/>
  <c r="P20" i="2" s="1"/>
  <c r="T4" i="2"/>
  <c r="S5" i="2"/>
  <c r="S6" i="3"/>
  <c r="S8" i="3"/>
  <c r="R9" i="2"/>
  <c r="R10" i="2"/>
  <c r="R14" i="2"/>
  <c r="R15" i="2"/>
  <c r="R16" i="2"/>
  <c r="R6" i="2"/>
  <c r="R21" i="2"/>
  <c r="R24" i="2"/>
  <c r="R25" i="2"/>
  <c r="R9" i="3"/>
  <c r="R23" i="3"/>
  <c r="R28" i="3"/>
  <c r="R13" i="4"/>
  <c r="R17" i="4" s="1"/>
  <c r="R4" i="6"/>
  <c r="R11" i="6" s="1"/>
  <c r="R24" i="3"/>
  <c r="R6" i="4"/>
  <c r="Q7" i="3"/>
  <c r="Q22" i="3"/>
  <c r="Q25" i="3" s="1"/>
  <c r="Q31" i="3" s="1"/>
  <c r="Q11" i="2"/>
  <c r="Q5" i="4"/>
  <c r="Q9" i="6"/>
  <c r="Q30" i="3"/>
  <c r="Q8" i="4"/>
  <c r="O27" i="2"/>
  <c r="O28" i="2"/>
  <c r="O7" i="6"/>
  <c r="O8" i="6"/>
  <c r="O14" i="6" s="1"/>
  <c r="O19" i="6" s="1"/>
  <c r="P9" i="4"/>
  <c r="P13" i="6" s="1"/>
  <c r="P12" i="6" s="1"/>
  <c r="Q17" i="2"/>
  <c r="Q22" i="2" s="1"/>
  <c r="R17" i="3" l="1"/>
  <c r="N36" i="3"/>
  <c r="N37" i="3" s="1"/>
  <c r="O35" i="3"/>
  <c r="O5" i="3"/>
  <c r="N10" i="3"/>
  <c r="N18" i="3" s="1"/>
  <c r="N38" i="3" s="1"/>
  <c r="P27" i="2"/>
  <c r="P28" i="2" s="1"/>
  <c r="P7" i="6"/>
  <c r="P8" i="6" s="1"/>
  <c r="P14" i="6" s="1"/>
  <c r="P19" i="6" s="1"/>
  <c r="T6" i="3"/>
  <c r="T8" i="3"/>
  <c r="T5" i="2"/>
  <c r="S6" i="2"/>
  <c r="S21" i="2"/>
  <c r="S12" i="3" s="1"/>
  <c r="S24" i="2"/>
  <c r="S25" i="2"/>
  <c r="S9" i="3"/>
  <c r="S23" i="3"/>
  <c r="S28" i="3"/>
  <c r="S13" i="4"/>
  <c r="S17" i="4" s="1"/>
  <c r="S4" i="6"/>
  <c r="S11" i="6" s="1"/>
  <c r="S24" i="3"/>
  <c r="S6" i="4"/>
  <c r="S34" i="3" s="1"/>
  <c r="S9" i="2"/>
  <c r="S10" i="2"/>
  <c r="S14" i="2"/>
  <c r="S15" i="2"/>
  <c r="S16" i="2"/>
  <c r="R7" i="3"/>
  <c r="R22" i="3"/>
  <c r="R25" i="3" s="1"/>
  <c r="R11" i="2"/>
  <c r="R9" i="6"/>
  <c r="R5" i="4"/>
  <c r="R30" i="3"/>
  <c r="R8" i="4"/>
  <c r="Q23" i="2"/>
  <c r="Q26" i="2"/>
  <c r="Q5" i="6"/>
  <c r="Q19" i="2"/>
  <c r="Q20" i="2" s="1"/>
  <c r="O29" i="2"/>
  <c r="O4" i="4"/>
  <c r="O10" i="4" s="1"/>
  <c r="O25" i="4" s="1"/>
  <c r="R17" i="2"/>
  <c r="R22" i="2" s="1"/>
  <c r="Q9" i="4"/>
  <c r="Q13" i="6" s="1"/>
  <c r="Q12" i="6" s="1"/>
  <c r="S17" i="3" l="1"/>
  <c r="T34" i="3"/>
  <c r="O36" i="3"/>
  <c r="O37" i="3" s="1"/>
  <c r="P35" i="3"/>
  <c r="O10" i="3"/>
  <c r="O18" i="3" s="1"/>
  <c r="O38" i="3" s="1"/>
  <c r="P29" i="2"/>
  <c r="P4" i="4"/>
  <c r="P10" i="4" s="1"/>
  <c r="P25" i="4" s="1"/>
  <c r="P5" i="3" s="1"/>
  <c r="T6" i="2"/>
  <c r="T9" i="2"/>
  <c r="T10" i="2"/>
  <c r="T14" i="2"/>
  <c r="T15" i="2"/>
  <c r="T16" i="2"/>
  <c r="T21" i="2"/>
  <c r="T12" i="3" s="1"/>
  <c r="T17" i="3" s="1"/>
  <c r="T24" i="2"/>
  <c r="T25" i="2"/>
  <c r="T9" i="3"/>
  <c r="T23" i="3"/>
  <c r="T28" i="3"/>
  <c r="T24" i="3"/>
  <c r="T4" i="6"/>
  <c r="T11" i="6" s="1"/>
  <c r="T6" i="4"/>
  <c r="T13" i="4"/>
  <c r="T17" i="4" s="1"/>
  <c r="S5" i="4"/>
  <c r="S9" i="6"/>
  <c r="S30" i="3"/>
  <c r="S8" i="4"/>
  <c r="S7" i="3"/>
  <c r="S9" i="4" s="1"/>
  <c r="S22" i="3"/>
  <c r="S25" i="3" s="1"/>
  <c r="S31" i="3" s="1"/>
  <c r="S11" i="2"/>
  <c r="S22" i="2"/>
  <c r="R23" i="2"/>
  <c r="R26" i="2"/>
  <c r="R5" i="6"/>
  <c r="R19" i="2"/>
  <c r="R20" i="2" s="1"/>
  <c r="Q27" i="2"/>
  <c r="Q28" i="2" s="1"/>
  <c r="Q7" i="6"/>
  <c r="Q8" i="6" s="1"/>
  <c r="Q14" i="6" s="1"/>
  <c r="Q19" i="6" s="1"/>
  <c r="R9" i="4"/>
  <c r="R13" i="6" s="1"/>
  <c r="R12" i="6" s="1"/>
  <c r="R31" i="3"/>
  <c r="S17" i="2"/>
  <c r="P36" i="3" l="1"/>
  <c r="P37" i="3" s="1"/>
  <c r="Q35" i="3"/>
  <c r="Q5" i="3"/>
  <c r="P10" i="3"/>
  <c r="P18" i="3" s="1"/>
  <c r="P38" i="3" s="1"/>
  <c r="T7" i="3"/>
  <c r="T22" i="3"/>
  <c r="T25" i="3" s="1"/>
  <c r="T31" i="3" s="1"/>
  <c r="T11" i="2"/>
  <c r="T22" i="2"/>
  <c r="T5" i="4"/>
  <c r="T9" i="6"/>
  <c r="T30" i="3"/>
  <c r="T8" i="4"/>
  <c r="S23" i="2"/>
  <c r="S26" i="2"/>
  <c r="S5" i="6"/>
  <c r="S19" i="2"/>
  <c r="S20" i="2" s="1"/>
  <c r="R27" i="2"/>
  <c r="R28" i="2"/>
  <c r="R7" i="6"/>
  <c r="R8" i="6"/>
  <c r="R14" i="6" s="1"/>
  <c r="R19" i="6" s="1"/>
  <c r="Q29" i="2"/>
  <c r="Q4" i="4"/>
  <c r="Q10" i="4" s="1"/>
  <c r="Q25" i="4" s="1"/>
  <c r="S13" i="6"/>
  <c r="S12" i="6" s="1"/>
  <c r="T17" i="2"/>
  <c r="Q36" i="3" l="1"/>
  <c r="Q37" i="3" s="1"/>
  <c r="R35" i="3"/>
  <c r="Q10" i="3"/>
  <c r="Q18" i="3" s="1"/>
  <c r="Q38" i="3" s="1"/>
  <c r="T23" i="2"/>
  <c r="T26" i="2"/>
  <c r="T5" i="6"/>
  <c r="T19" i="2"/>
  <c r="S27" i="2"/>
  <c r="S28" i="2"/>
  <c r="S7" i="6"/>
  <c r="S8" i="6"/>
  <c r="S14" i="6" s="1"/>
  <c r="S19" i="6" s="1"/>
  <c r="R29" i="2"/>
  <c r="R4" i="4"/>
  <c r="R10" i="4" s="1"/>
  <c r="R25" i="4" s="1"/>
  <c r="R5" i="3" s="1"/>
  <c r="T9" i="4"/>
  <c r="T13" i="6" s="1"/>
  <c r="T12" i="6" s="1"/>
  <c r="R36" i="3" l="1"/>
  <c r="R37" i="3" s="1"/>
  <c r="S35" i="3"/>
  <c r="R10" i="3"/>
  <c r="R18" i="3" s="1"/>
  <c r="R38" i="3" s="1"/>
  <c r="T27" i="2"/>
  <c r="T28" i="2"/>
  <c r="T7" i="6"/>
  <c r="T8" i="6" s="1"/>
  <c r="T14" i="6" s="1"/>
  <c r="T20" i="2"/>
  <c r="E28" i="6"/>
  <c r="E30" i="6" s="1"/>
  <c r="S29" i="2"/>
  <c r="S4" i="4"/>
  <c r="S10" i="4" s="1"/>
  <c r="S25" i="4" s="1"/>
  <c r="S5" i="3" s="1"/>
  <c r="S36" i="3" l="1"/>
  <c r="S37" i="3" s="1"/>
  <c r="T35" i="3"/>
  <c r="T36" i="3" s="1"/>
  <c r="T37" i="3" s="1"/>
  <c r="S10" i="3"/>
  <c r="S18" i="3" s="1"/>
  <c r="S38" i="3" s="1"/>
  <c r="T5" i="3"/>
  <c r="T10" i="3" s="1"/>
  <c r="T18" i="3" s="1"/>
  <c r="T38" i="3" s="1"/>
  <c r="T29" i="2"/>
  <c r="T4" i="4"/>
  <c r="T10" i="4" s="1"/>
  <c r="T25" i="4" s="1"/>
  <c r="F49" i="6"/>
  <c r="E49" i="6"/>
  <c r="D53" i="6"/>
  <c r="F53" i="6"/>
  <c r="E51" i="6"/>
  <c r="H51" i="6"/>
  <c r="H52" i="6"/>
  <c r="F50" i="6"/>
  <c r="G52" i="6"/>
  <c r="G51" i="6"/>
  <c r="H53" i="6"/>
  <c r="H50" i="6"/>
  <c r="F51" i="6"/>
  <c r="G49" i="6"/>
  <c r="D49" i="6"/>
  <c r="G53" i="6"/>
  <c r="D52" i="6"/>
  <c r="D50" i="6"/>
  <c r="E50" i="6"/>
  <c r="E52" i="6"/>
  <c r="F52" i="6"/>
  <c r="H49" i="6"/>
  <c r="E53" i="6"/>
  <c r="D51" i="6"/>
  <c r="G50" i="6"/>
  <c r="C24" i="6"/>
  <c r="T19" i="6"/>
  <c r="C23" i="6" s="1"/>
  <c r="E31" i="6"/>
  <c r="D60" i="6" l="1"/>
  <c r="C60" i="6"/>
  <c r="H7" i="1" s="1"/>
  <c r="C61" i="6"/>
  <c r="H8" i="1" s="1"/>
  <c r="E23" i="6"/>
  <c r="E32" i="6" s="1"/>
  <c r="E37" i="6" s="1"/>
  <c r="E39" i="6" s="1"/>
  <c r="D61" i="6"/>
  <c r="C26" i="6"/>
  <c r="E45" i="6"/>
  <c r="E60" i="6" l="1"/>
  <c r="I7" i="1"/>
  <c r="J7" i="1" s="1"/>
  <c r="K7" i="1"/>
  <c r="M7" i="1"/>
  <c r="K8" i="1"/>
  <c r="M8" i="1"/>
  <c r="E41" i="6"/>
  <c r="C30" i="1"/>
  <c r="E30" i="1" s="1"/>
  <c r="E61" i="6"/>
  <c r="I8" i="1"/>
  <c r="J8" i="1" s="1"/>
  <c r="C27" i="6"/>
  <c r="C44" i="6"/>
  <c r="N7" i="1" l="1"/>
  <c r="L7" i="1"/>
  <c r="L8" i="1"/>
  <c r="N8" i="1"/>
  <c r="C32" i="6"/>
  <c r="C37" i="6" l="1"/>
  <c r="C39" i="6" s="1"/>
  <c r="C24" i="1"/>
  <c r="C41" i="6" l="1"/>
  <c r="C29" i="1"/>
  <c r="E29" i="1" s="1"/>
  <c r="E31" i="1" s="1"/>
  <c r="C15" i="1" s="1"/>
  <c r="C16" i="1" s="1"/>
  <c r="C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Bosco Yu</author>
  </authors>
  <commentList>
    <comment ref="T23" authorId="0" shapeId="0" xr:uid="{00000000-0006-0000-0100-000004000000}">
      <text>
        <r>
          <rPr>
            <sz val="10"/>
            <rFont val="Arial"/>
            <family val="2"/>
          </rPr>
          <t xml:space="preserve">Bosco Yu:
FY2040 EBIT margin targeted at ~31%, in line with mature peers (Fortinet 30.7% FY25, Check Point 31% Q4-25 GAAP).
</t>
        </r>
      </text>
    </comment>
    <comment ref="B33" authorId="0" shapeId="0" xr:uid="{00000000-0006-0000-0100-000001000000}">
      <text>
        <r>
          <rPr>
            <sz val="10"/>
            <rFont val="Arial"/>
            <family val="2"/>
          </rPr>
          <t>Bosco Yu:
RBRK has fierce competition and is riding on the AI demand surge. It must keep spending on R&amp;D to stay afloat</t>
        </r>
      </text>
    </comment>
    <comment ref="B34" authorId="0" shapeId="0" xr:uid="{00000000-0006-0000-0100-000002000000}">
      <text>
        <r>
          <rPr>
            <sz val="10"/>
            <rFont val="Arial"/>
            <family val="2"/>
          </rPr>
          <t>Bosco Yu:
In an competitive industry, RBRK must invest in marketing to quickly capture market share</t>
        </r>
      </text>
    </comment>
    <comment ref="G40" authorId="0" shapeId="0" xr:uid="{00000000-0006-0000-0100-000003000000}">
      <text>
        <r>
          <rPr>
            <sz val="10"/>
            <rFont val="Arial"/>
            <family val="2"/>
          </rPr>
          <t xml:space="preserve">Bosco Yu:
Raised for AI-driven cybersecurity demand thesis
</t>
        </r>
      </text>
    </comment>
  </commentList>
</comments>
</file>

<file path=xl/sharedStrings.xml><?xml version="1.0" encoding="utf-8"?>
<sst xmlns="http://schemas.openxmlformats.org/spreadsheetml/2006/main" count="311" uniqueCount="248">
  <si>
    <t>RUBRIK, INC. (NYSE: RBRK)  |  DCF VALUATION</t>
  </si>
  <si>
    <t>UofT Decision Systems  |  Fundamental Research</t>
  </si>
  <si>
    <t>COMPANY OVERVIEW</t>
  </si>
  <si>
    <t>VALUATION FOOTBALL FIELD ($ / SHARE)</t>
  </si>
  <si>
    <t>Company:</t>
  </si>
  <si>
    <t>Rubrik, Inc.</t>
  </si>
  <si>
    <t>Method</t>
  </si>
  <si>
    <t>Low</t>
  </si>
  <si>
    <t>High</t>
  </si>
  <si>
    <t>Midpoint</t>
  </si>
  <si>
    <t>chart helper</t>
  </si>
  <si>
    <t>Ticker:</t>
  </si>
  <si>
    <t>NYSE: RBRK</t>
  </si>
  <si>
    <t>52-Week Trading Range (at 5/12/2026)</t>
  </si>
  <si>
    <t>52-Week Range</t>
  </si>
  <si>
    <t>Sector:</t>
  </si>
  <si>
    <t>Cybersecurity / Cloud Software</t>
  </si>
  <si>
    <t>DCF - Perpetuity Growth (WACC / g)</t>
  </si>
  <si>
    <t>DCF - Perpetuity</t>
  </si>
  <si>
    <t>Fiscal Year End:</t>
  </si>
  <si>
    <t>January 31</t>
  </si>
  <si>
    <t>DCF - Exit Multiple (9x - 13x)</t>
  </si>
  <si>
    <t>DCF - Exit Multiple</t>
  </si>
  <si>
    <t>Valuation Date:</t>
  </si>
  <si>
    <t>May 12, 2026</t>
  </si>
  <si>
    <t>Current Share Price</t>
  </si>
  <si>
    <t>Current Price</t>
  </si>
  <si>
    <t>Currency:</t>
  </si>
  <si>
    <t>USD ($000 except per-share data)</t>
  </si>
  <si>
    <t>Analyst:</t>
  </si>
  <si>
    <t>Bosco Yu</t>
  </si>
  <si>
    <t>INVESTMENT SUMMARY</t>
  </si>
  <si>
    <t>Current Share Price (5/12/2026)</t>
  </si>
  <si>
    <t>Target Price (weighted)</t>
  </si>
  <si>
    <t>Implied Upside / (Downside)</t>
  </si>
  <si>
    <t>Implied Rating</t>
  </si>
  <si>
    <t>KEY ASSUMPTIONS</t>
  </si>
  <si>
    <t>WACC</t>
  </si>
  <si>
    <t>Terminal Growth Rate</t>
  </si>
  <si>
    <t>Exit EV / EBITDA Multiple</t>
  </si>
  <si>
    <t>Revenue CAGR (FY2026A - FY2040E)</t>
  </si>
  <si>
    <t>Terminal Value % of Enterprise Value</t>
  </si>
  <si>
    <t>Diluted Shares Outstanding (000)</t>
  </si>
  <si>
    <t>TARGET PRICE WEIGHTING</t>
  </si>
  <si>
    <t>Implied Price</t>
  </si>
  <si>
    <t>Weight</t>
  </si>
  <si>
    <t>Contribution</t>
  </si>
  <si>
    <t>DCF - Perpetuity Growth</t>
  </si>
  <si>
    <t>Weighted Target Price</t>
  </si>
  <si>
    <t>Model conventions: blue = hardcoded input  |  black = formula  |  green = link to another tab</t>
  </si>
  <si>
    <t>UofT Decision Systems - Fundamental Research. For educational purposes only; not investment advice.</t>
  </si>
  <si>
    <t>INCOME STATEMENT ($000)</t>
  </si>
  <si>
    <t>FY2023</t>
  </si>
  <si>
    <t>FY2024</t>
  </si>
  <si>
    <t>FY2025</t>
  </si>
  <si>
    <t>FY2026</t>
  </si>
  <si>
    <t>FY2027E</t>
  </si>
  <si>
    <t>FY2028E</t>
  </si>
  <si>
    <t>FY2029E</t>
  </si>
  <si>
    <t>FY2030E</t>
  </si>
  <si>
    <t>FY2031E</t>
  </si>
  <si>
    <t>FY2032E</t>
  </si>
  <si>
    <t>FY2033E</t>
  </si>
  <si>
    <t>FY2034E</t>
  </si>
  <si>
    <t>FY2035E</t>
  </si>
  <si>
    <t>FY2036E</t>
  </si>
  <si>
    <t>FY2037E</t>
  </si>
  <si>
    <t>FY2038E</t>
  </si>
  <si>
    <t>FY2039E</t>
  </si>
  <si>
    <t>FY2040E</t>
  </si>
  <si>
    <t>REVENUE</t>
  </si>
  <si>
    <t>Revenue</t>
  </si>
  <si>
    <t>Total Revenue</t>
  </si>
  <si>
    <t>Revenue Growth YoY</t>
  </si>
  <si>
    <t>__</t>
  </si>
  <si>
    <t>COST OF REVENUE</t>
  </si>
  <si>
    <t>Cost of Revenue</t>
  </si>
  <si>
    <t>Gross Profit</t>
  </si>
  <si>
    <t>Gross Margin %</t>
  </si>
  <si>
    <t>OPERATING EXPENSES</t>
  </si>
  <si>
    <t>Research &amp; Development</t>
  </si>
  <si>
    <t>Sales &amp; Marketing</t>
  </si>
  <si>
    <t>General &amp; Administrative</t>
  </si>
  <si>
    <t>Total Operating Expenses</t>
  </si>
  <si>
    <t>EBITDA</t>
  </si>
  <si>
    <t>EBITDA Margin %</t>
  </si>
  <si>
    <t>Depreciation &amp; Amortization</t>
  </si>
  <si>
    <t>EBIT (Operating Income)</t>
  </si>
  <si>
    <t>EBIT Margin %</t>
  </si>
  <si>
    <t>Interest Income / (Expense), net</t>
  </si>
  <si>
    <t>Other Income Expense</t>
  </si>
  <si>
    <t>EBT (Pre-tax Income)</t>
  </si>
  <si>
    <t>Income Tax Expense</t>
  </si>
  <si>
    <t>Net Income / (Loss)</t>
  </si>
  <si>
    <t>Net Margin %</t>
  </si>
  <si>
    <t>PROJECTION ASSUMPTIONS</t>
  </si>
  <si>
    <t>R&amp;D as % of Revenue</t>
  </si>
  <si>
    <t>S&amp;M as % of Revenue</t>
  </si>
  <si>
    <t>G&amp;A as % of Revenue</t>
  </si>
  <si>
    <t>D&amp;A as % of Revenue</t>
  </si>
  <si>
    <t>Tax Rate</t>
  </si>
  <si>
    <t>Revenue Growth Rate</t>
  </si>
  <si>
    <t>Balance Sheet ($000)</t>
  </si>
  <si>
    <t>ASSETS</t>
  </si>
  <si>
    <t>Current Assets</t>
  </si>
  <si>
    <t>Cash &amp; Equivalents &amp; STI</t>
  </si>
  <si>
    <t>Accounts Receivable</t>
  </si>
  <si>
    <t>Inventory</t>
  </si>
  <si>
    <t>Prepaid Expenses</t>
  </si>
  <si>
    <t>Other Current Assets</t>
  </si>
  <si>
    <t>Total Current Assets</t>
  </si>
  <si>
    <t>Non-Current Assets</t>
  </si>
  <si>
    <t>Property &amp; Equipment, net</t>
  </si>
  <si>
    <t>Goodwill &amp; Intangibles</t>
  </si>
  <si>
    <t>Accounts Receivable Long term</t>
  </si>
  <si>
    <t>Deferred Charges, LT</t>
  </si>
  <si>
    <t>Other Non-Current Assets</t>
  </si>
  <si>
    <t>Total Non-Current Assets</t>
  </si>
  <si>
    <t>TOTAL ASSETS</t>
  </si>
  <si>
    <t>LIABILITIES</t>
  </si>
  <si>
    <t>Current Liabilities</t>
  </si>
  <si>
    <t>Accounts Payable</t>
  </si>
  <si>
    <t>Deferred Revenue (Current)</t>
  </si>
  <si>
    <t>Accrued &amp; Other Current Liabilities</t>
  </si>
  <si>
    <t>Total Current Liabilities</t>
  </si>
  <si>
    <t>Non-Current Liabilities</t>
  </si>
  <si>
    <t>Long-Term Debt</t>
  </si>
  <si>
    <t>Deferred Revenue (LT)</t>
  </si>
  <si>
    <t>Other Non-Current Liabilities</t>
  </si>
  <si>
    <t>Total Non-Current Liabilities</t>
  </si>
  <si>
    <t>TOTAL LIABILITIES</t>
  </si>
  <si>
    <t>STOCKHOLDERS' EQUITY (DEFICIT)</t>
  </si>
  <si>
    <t>Common Stock &amp; APIC</t>
  </si>
  <si>
    <t>Accumulated Deficit</t>
  </si>
  <si>
    <t>Total Stockholders' Equity (Deficit)</t>
  </si>
  <si>
    <t>TOTAL LIABILITIES &amp; EQUITY</t>
  </si>
  <si>
    <t>Balance Check (Assets - L&amp;E)</t>
  </si>
  <si>
    <t>BALANCE SHEET ASSUMPTIONS</t>
  </si>
  <si>
    <t>AR - Days Sales Outstanding (days)</t>
  </si>
  <si>
    <t>CapEx as % of Revenue</t>
  </si>
  <si>
    <t>Deferred Revenue (Current) % of Rev</t>
  </si>
  <si>
    <t>Deferred Revenue (LT) % of Rev</t>
  </si>
  <si>
    <t>Inventory - Days Inventory (on COGS, days)</t>
  </si>
  <si>
    <t>Prepaid Expenses % of Revenue</t>
  </si>
  <si>
    <t>Other Current Assets % of Revenue</t>
  </si>
  <si>
    <t>AP - Days Payable Outstanding (on COGS, days)</t>
  </si>
  <si>
    <t>Accrued &amp; Other CL % of Revenue</t>
  </si>
  <si>
    <t>Stock-Based Comp % of Revenue</t>
  </si>
  <si>
    <t>Cash Flow Statement ($000)</t>
  </si>
  <si>
    <t>OPERATING ACTIVITIES</t>
  </si>
  <si>
    <t>Stockbased Compensation</t>
  </si>
  <si>
    <t>Other Non-Cash Items</t>
  </si>
  <si>
    <t>Change in Deferred Revenue</t>
  </si>
  <si>
    <t>Change in Other Net Working Capital</t>
  </si>
  <si>
    <t>Cash from Operations</t>
  </si>
  <si>
    <t>INVESTING ACTIVITIES</t>
  </si>
  <si>
    <t>Capital Expenditures</t>
  </si>
  <si>
    <t>Cash Acqusitions</t>
  </si>
  <si>
    <t>Purchase of Investments</t>
  </si>
  <si>
    <t>Investment in Marketable &amp; Equity Securities</t>
  </si>
  <si>
    <t>Cash from Investing</t>
  </si>
  <si>
    <t>FINANCING ACTIVITIES</t>
  </si>
  <si>
    <t>Net Debt Issuance / (Repayment)</t>
  </si>
  <si>
    <t>Net Equity Activity (Issuance less Repurchase, incl. Pref.)</t>
  </si>
  <si>
    <t>Other Financing Activities</t>
  </si>
  <si>
    <t>Cash from Financing</t>
  </si>
  <si>
    <t>Foreign Exchange Rate Adj.</t>
  </si>
  <si>
    <t>Net Cash Flow</t>
  </si>
  <si>
    <t>WEIGHTED AVERAGE COST OF CAPITAL</t>
  </si>
  <si>
    <t>COST OF EQUITY (CAPM)</t>
  </si>
  <si>
    <t>Risk-Free Rate (10-Yr Treasury)</t>
  </si>
  <si>
    <t>Source: FRED</t>
  </si>
  <si>
    <t>Equity Risk Premium</t>
  </si>
  <si>
    <t>Damodaran implied ERP, Jan 2026 (same annual dataset as the unlevered beta)</t>
  </si>
  <si>
    <t>Levered Beta</t>
  </si>
  <si>
    <t>βL = βu × (1 + (1 − t) × D/E) Using Damodaran's Unlevered Beta for the Software Industry</t>
  </si>
  <si>
    <t>Cost of Equity</t>
  </si>
  <si>
    <t>COST OF DEBT</t>
  </si>
  <si>
    <t>Pre-Tax Cost of Debt</t>
  </si>
  <si>
    <t xml:space="preserve"> risk-free + credit spread; RBRK notes are 0% YTM so their YTM is not meaningful)</t>
  </si>
  <si>
    <t>Marginal Tax Rate</t>
  </si>
  <si>
    <t>After-Tax Cost of Debt</t>
  </si>
  <si>
    <t>CAPITAL STRUCTURE</t>
  </si>
  <si>
    <t>(close, 05/12/2026 - Yahoo Finance)</t>
  </si>
  <si>
    <t>(see Diluted Share Build below)</t>
  </si>
  <si>
    <t>Market Value of Equity</t>
  </si>
  <si>
    <t>Market Value of Debt</t>
  </si>
  <si>
    <t>Total Capitalization</t>
  </si>
  <si>
    <t>Weight of Equity (E / V)</t>
  </si>
  <si>
    <t>Weight of Debt (D / V)</t>
  </si>
  <si>
    <t>DILUTED SHARE BUILD (000) - FY2026 10-K</t>
  </si>
  <si>
    <t>Class A Shares Outstanding</t>
  </si>
  <si>
    <t>(10-K cover, as of 2/28/2026)</t>
  </si>
  <si>
    <t>Class B Shares Outstanding</t>
  </si>
  <si>
    <t>Stock Options Outstanding</t>
  </si>
  <si>
    <t>(as of 1/31/2026)</t>
  </si>
  <si>
    <t>Option Exercise Price (W.Avg)</t>
  </si>
  <si>
    <t>Options - Net Shares (TSM)</t>
  </si>
  <si>
    <t>(treasury stock method at current share price)</t>
  </si>
  <si>
    <t>Unvested RSUs</t>
  </si>
  <si>
    <t>(as of 1/31/2026; convertible notes excluded because conversion ~$125 &gt; share price)</t>
  </si>
  <si>
    <t>Fully Diluted Shares</t>
  </si>
  <si>
    <t>DISCOUNTED CASH FLOW ANALYSIS ($000 except per-share)</t>
  </si>
  <si>
    <t>UNLEVERED FREE CASH FLOW</t>
  </si>
  <si>
    <t>EBIT</t>
  </si>
  <si>
    <t>Less: Taxes on EBIT</t>
  </si>
  <si>
    <t>NOPAT</t>
  </si>
  <si>
    <t>Plus: D&amp;A</t>
  </si>
  <si>
    <t>Less: CapEx (% of Revenue)</t>
  </si>
  <si>
    <t>Less: CapEx</t>
  </si>
  <si>
    <t>Change in NWC (% of Revenue)</t>
  </si>
  <si>
    <t>Plus / (Less): Change in NWC</t>
  </si>
  <si>
    <t>Unlevered Free Cash Flow</t>
  </si>
  <si>
    <t>DISCOUNTING</t>
  </si>
  <si>
    <t>Discount Period</t>
  </si>
  <si>
    <t>Discount Factor</t>
  </si>
  <si>
    <t>PV of Unlevered FCF</t>
  </si>
  <si>
    <t>TERMINAL VALUE &amp; VALUATION BRIDGE</t>
  </si>
  <si>
    <t>Perpetuity Growth Method</t>
  </si>
  <si>
    <t>Exit Multiple Method</t>
  </si>
  <si>
    <t>Sum of PV of Explicit FCFs</t>
  </si>
  <si>
    <t>Terminal Year Unlevered FCF</t>
  </si>
  <si>
    <t>(below long-run US nominal GDP growth)</t>
  </si>
  <si>
    <t>Terminal Value</t>
  </si>
  <si>
    <t>PV of Terminal Value</t>
  </si>
  <si>
    <t>Terminal Year EBITDA</t>
  </si>
  <si>
    <t>(assumed exit multiple for mature security software)</t>
  </si>
  <si>
    <t>Implied Enterprise Value</t>
  </si>
  <si>
    <t>Less: Total Debt</t>
  </si>
  <si>
    <t>Plus: Cash &amp; Equivalents</t>
  </si>
  <si>
    <t>(cash + ST investments at 1/31/2026)</t>
  </si>
  <si>
    <t>Less: Preferred Stock</t>
  </si>
  <si>
    <t>Less: Minority Interest</t>
  </si>
  <si>
    <t>Implied Equity Value</t>
  </si>
  <si>
    <t>Implied Share Price</t>
  </si>
  <si>
    <t>CROSS-CHECKS</t>
  </si>
  <si>
    <t>Implied Exit Multiple (from Perpetuity Growth TV)</t>
  </si>
  <si>
    <t>Implied Perpetuity Growth Rate (from Exit Multiple TV)</t>
  </si>
  <si>
    <t>SENSITIVITY — IMPLIED SHARE PRICE (PERPETUITY GROWTH METHOD)</t>
  </si>
  <si>
    <t>WACC \ Terminal Growth Rate</t>
  </si>
  <si>
    <t>VALUATION SUMMARY — FOOTBALL FIELD</t>
  </si>
  <si>
    <t>Range</t>
  </si>
  <si>
    <t>52-Week Trading Range</t>
  </si>
  <si>
    <t>(52-week range as of 5/12/2026)</t>
  </si>
  <si>
    <t>DCF — Perpetuity Growth (sensitivity range)</t>
  </si>
  <si>
    <t>DCF — Exit Multiple (±2.0x around base case)</t>
  </si>
  <si>
    <t>bear case</t>
  </si>
  <si>
    <t>bull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</si>
</sst>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\$#,##0.00"/>
    <numFmt numFmtId="165" formatCode="0.0%;\(0.0%\);\-"/>
    <numFmt numFmtId="166" formatCode="0.0\x"/>
    <numFmt numFmtId="167" formatCode="#,##0;\(#,##0\);\-"/>
    <numFmt numFmtId="168" formatCode="0,000"/>
    <numFmt numFmtId="169" formatCode="000,000"/>
    <numFmt numFmtId="170" formatCode="00,000"/>
    <numFmt numFmtId="171" formatCode="0.0"/>
    <numFmt numFmtId="172" formatCode="0.0%"/>
    <numFmt numFmtId="173" formatCode="\$0.00"/>
    <numFmt numFmtId="174" formatCode="0.000"/>
    <numFmt numFmtId="175" formatCode="0.00\x;\(0.00&quot;x)&quot;;\-"/>
    <numFmt numFmtId="176" formatCode="\$#,##0.00;&quot;($&quot;#,##0.00\);\-"/>
  </numFmts>
  <fonts count="4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0E1830"/>
      <name val="Arial"/>
      <charset val="1"/>
    </font>
    <font>
      <b/>
      <sz val="9"/>
      <color rgb="FF1B2A4A"/>
      <name val="Arial"/>
      <charset val="1"/>
    </font>
    <font>
      <sz val="10"/>
      <color rgb="FF0E1830"/>
      <name val="Arial"/>
      <charset val="1"/>
    </font>
    <font>
      <b/>
      <sz val="9"/>
      <color rgb="FF0E1830"/>
      <name val="Arial"/>
      <charset val="1"/>
    </font>
    <font>
      <i/>
      <sz val="7"/>
      <color rgb="FF595959"/>
      <name val="Arial"/>
      <charset val="1"/>
    </font>
    <font>
      <sz val="10"/>
      <color rgb="FF1E7B4D"/>
      <name val="Arial"/>
      <charset val="1"/>
    </font>
    <font>
      <sz val="7"/>
      <color rgb="FF595959"/>
      <name val="Arial"/>
      <charset val="1"/>
    </font>
    <font>
      <i/>
      <sz val="8"/>
      <color rgb="FF595959"/>
      <name val="Arial"/>
      <charset val="1"/>
    </font>
    <font>
      <sz val="10"/>
      <color rgb="FF2D5BFF"/>
      <name val="Arial"/>
      <charset val="1"/>
    </font>
    <font>
      <sz val="11"/>
      <color theme="1"/>
      <name val="Arial"/>
      <charset val="1"/>
    </font>
    <font>
      <b/>
      <sz val="11"/>
      <color rgb="FFFFFFFF"/>
      <name val="Arial"/>
      <family val="2"/>
      <charset val="1"/>
    </font>
    <font>
      <b/>
      <sz val="10"/>
      <color rgb="FF000000"/>
      <name val="Arial"/>
      <charset val="1"/>
    </font>
    <font>
      <sz val="9"/>
      <color theme="1"/>
      <name val="Arial"/>
      <charset val="1"/>
    </font>
    <font>
      <sz val="10"/>
      <color theme="1"/>
      <name val="Arial"/>
      <charset val="1"/>
    </font>
    <font>
      <i/>
      <sz val="9"/>
      <color rgb="FF595959"/>
      <name val="Arial"/>
      <charset val="1"/>
    </font>
    <font>
      <b/>
      <sz val="11"/>
      <color theme="1"/>
      <name val="Calibri"/>
      <family val="2"/>
      <charset val="1"/>
    </font>
    <font>
      <b/>
      <sz val="10"/>
      <color rgb="FF1B2A4A"/>
      <name val="Arial"/>
      <charset val="1"/>
    </font>
    <font>
      <b/>
      <sz val="10"/>
      <color rgb="FF0A1838"/>
      <name val="Arial"/>
      <charset val="1"/>
    </font>
    <font>
      <sz val="10"/>
      <color rgb="FF000000"/>
      <name val="Arial"/>
      <charset val="1"/>
    </font>
    <font>
      <i/>
      <sz val="10"/>
      <color rgb="FF595959"/>
      <name val="Arial"/>
      <charset val="1"/>
    </font>
    <font>
      <i/>
      <sz val="10"/>
      <color rgb="FF595959"/>
      <name val="Arial"/>
      <family val="2"/>
      <charset val="1"/>
    </font>
    <font>
      <sz val="10"/>
      <name val="Arial"/>
      <family val="2"/>
    </font>
    <font>
      <b/>
      <sz val="10"/>
      <color rgb="FF000000"/>
      <name val="Arial"/>
      <family val="2"/>
      <charset val="1"/>
    </font>
    <font>
      <b/>
      <sz val="10"/>
      <color theme="1"/>
      <name val="Arial"/>
      <charset val="1"/>
    </font>
    <font>
      <sz val="10"/>
      <color rgb="FF000000"/>
      <name val="Arial"/>
      <family val="2"/>
      <charset val="1"/>
    </font>
    <font>
      <b/>
      <sz val="10"/>
      <color theme="3" tint="-0.249977111117893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color rgb="FF1B2A4A"/>
      <name val="Arial"/>
      <family val="2"/>
      <charset val="1"/>
    </font>
    <font>
      <i/>
      <sz val="10"/>
      <color rgb="FF1E7B4D"/>
      <name val="Arial"/>
      <charset val="1"/>
    </font>
    <font>
      <sz val="10"/>
      <color theme="1"/>
      <name val="Arial"/>
      <family val="2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i/>
      <sz val="8"/>
      <color rgb="FF595959"/>
      <name val="Arial"/>
      <family val="2"/>
      <charset val="1"/>
    </font>
    <font>
      <b/>
      <sz val="10"/>
      <color rgb="FF0E1830"/>
      <name val="Arial"/>
      <family val="2"/>
      <charset val="1"/>
    </font>
    <font>
      <b/>
      <sz val="10"/>
      <color rgb="FF1E7B4D"/>
      <name val="Arial"/>
      <charset val="1"/>
    </font>
    <font>
      <i/>
      <sz val="9"/>
      <color rgb="FF1E7B4D"/>
      <name val="Arial"/>
      <charset val="1"/>
    </font>
    <font>
      <i/>
      <sz val="10"/>
      <color rgb="FF0E1830"/>
      <name val="Arial"/>
      <charset val="1"/>
    </font>
    <font>
      <sz val="9"/>
      <color rgb="FF0E1830"/>
      <name val="Arial"/>
      <charset val="1"/>
    </font>
    <font>
      <b/>
      <sz val="10"/>
      <color rgb="FF0E1830"/>
      <name val="Arial"/>
      <family val="2"/>
    </font>
    <font>
      <sz val="10"/>
      <color rgb="FF0E183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A1838"/>
        <bgColor rgb="FF0E1830"/>
      </patternFill>
    </fill>
    <fill>
      <patternFill patternType="solid">
        <fgColor rgb="FFF2F2F2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2D5B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FBFBF"/>
      </left>
      <right/>
      <top/>
      <bottom style="thin">
        <color auto="1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auto="1"/>
      </top>
      <bottom/>
      <diagonal/>
    </border>
    <border>
      <left style="thin">
        <color rgb="FFBFBFBF"/>
      </left>
      <right/>
      <top style="thin">
        <color auto="1"/>
      </top>
      <bottom style="double">
        <color auto="1"/>
      </bottom>
      <diagonal/>
    </border>
    <border>
      <left style="thin">
        <color rgb="FFBFBFBF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3" fillId="3" borderId="2" xfId="0" applyFont="1" applyFill="1" applyBorder="1" applyAlignment="1">
      <alignment horizontal="left" vertical="center"/>
    </xf>
    <xf numFmtId="0" fontId="0" fillId="2" borderId="1" xfId="0" applyFill="1" applyBorder="1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4" fillId="0" borderId="0" xfId="0" applyFont="1"/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right"/>
    </xf>
    <xf numFmtId="0" fontId="6" fillId="0" borderId="0" xfId="0" applyFont="1"/>
    <xf numFmtId="164" fontId="7" fillId="0" borderId="0" xfId="0" applyNumberFormat="1" applyFont="1"/>
    <xf numFmtId="164" fontId="4" fillId="0" borderId="0" xfId="0" applyNumberFormat="1" applyFont="1"/>
    <xf numFmtId="164" fontId="8" fillId="0" borderId="0" xfId="0" applyNumberFormat="1" applyFont="1"/>
    <xf numFmtId="0" fontId="8" fillId="0" borderId="0" xfId="0" applyFont="1"/>
    <xf numFmtId="0" fontId="2" fillId="0" borderId="4" xfId="0" applyFont="1" applyBorder="1"/>
    <xf numFmtId="164" fontId="2" fillId="0" borderId="4" xfId="0" applyNumberFormat="1" applyFont="1" applyBorder="1"/>
    <xf numFmtId="0" fontId="0" fillId="0" borderId="4" xfId="0" applyBorder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9" fillId="0" borderId="0" xfId="0" applyFont="1"/>
    <xf numFmtId="165" fontId="7" fillId="0" borderId="0" xfId="0" applyNumberFormat="1" applyFont="1"/>
    <xf numFmtId="166" fontId="7" fillId="0" borderId="0" xfId="0" applyNumberFormat="1" applyFont="1"/>
    <xf numFmtId="3" fontId="7" fillId="0" borderId="0" xfId="0" applyNumberFormat="1" applyFont="1"/>
    <xf numFmtId="165" fontId="10" fillId="0" borderId="0" xfId="0" applyNumberFormat="1" applyFont="1"/>
    <xf numFmtId="0" fontId="2" fillId="0" borderId="5" xfId="0" applyFont="1" applyBorder="1"/>
    <xf numFmtId="0" fontId="0" fillId="0" borderId="5" xfId="0" applyBorder="1"/>
    <xf numFmtId="165" fontId="2" fillId="0" borderId="5" xfId="0" applyNumberFormat="1" applyFont="1" applyBorder="1"/>
    <xf numFmtId="164" fontId="2" fillId="0" borderId="5" xfId="0" applyNumberFormat="1" applyFont="1" applyBorder="1"/>
    <xf numFmtId="0" fontId="11" fillId="2" borderId="1" xfId="0" applyFont="1" applyFill="1" applyBorder="1"/>
    <xf numFmtId="0" fontId="13" fillId="0" borderId="3" xfId="0" applyFont="1" applyBorder="1"/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4" fillId="3" borderId="2" xfId="0" applyFont="1" applyFill="1" applyBorder="1"/>
    <xf numFmtId="0" fontId="15" fillId="0" borderId="0" xfId="0" applyFont="1"/>
    <xf numFmtId="0" fontId="4" fillId="0" borderId="0" xfId="0" applyFont="1" applyAlignment="1">
      <alignment indent="1"/>
    </xf>
    <xf numFmtId="167" fontId="10" fillId="0" borderId="0" xfId="0" applyNumberFormat="1" applyFont="1"/>
    <xf numFmtId="167" fontId="4" fillId="0" borderId="7" xfId="0" applyNumberFormat="1" applyFont="1" applyBorder="1"/>
    <xf numFmtId="167" fontId="4" fillId="0" borderId="0" xfId="0" applyNumberFormat="1" applyFont="1"/>
    <xf numFmtId="0" fontId="15" fillId="0" borderId="4" xfId="0" applyFont="1" applyBorder="1"/>
    <xf numFmtId="0" fontId="2" fillId="0" borderId="4" xfId="0" applyFont="1" applyBorder="1" applyAlignment="1">
      <alignment indent="1"/>
    </xf>
    <xf numFmtId="167" fontId="2" fillId="0" borderId="4" xfId="0" applyNumberFormat="1" applyFont="1" applyBorder="1"/>
    <xf numFmtId="167" fontId="2" fillId="0" borderId="8" xfId="0" applyNumberFormat="1" applyFont="1" applyBorder="1"/>
    <xf numFmtId="0" fontId="14" fillId="0" borderId="0" xfId="0" applyFont="1"/>
    <xf numFmtId="0" fontId="16" fillId="0" borderId="0" xfId="0" applyFont="1" applyAlignment="1">
      <alignment horizontal="left" indent="1"/>
    </xf>
    <xf numFmtId="165" fontId="16" fillId="0" borderId="0" xfId="0" applyNumberFormat="1" applyFont="1"/>
    <xf numFmtId="165" fontId="16" fillId="0" borderId="7" xfId="0" applyNumberFormat="1" applyFont="1" applyBorder="1"/>
    <xf numFmtId="0" fontId="15" fillId="0" borderId="7" xfId="0" applyFont="1" applyBorder="1"/>
    <xf numFmtId="0" fontId="17" fillId="0" borderId="0" xfId="0" applyFont="1"/>
    <xf numFmtId="0" fontId="18" fillId="0" borderId="4" xfId="0" applyFont="1" applyBorder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19" fillId="0" borderId="4" xfId="0" applyFont="1" applyBorder="1" applyAlignment="1">
      <alignment indent="1"/>
    </xf>
    <xf numFmtId="0" fontId="15" fillId="0" borderId="5" xfId="0" applyFont="1" applyBorder="1"/>
    <xf numFmtId="0" fontId="13" fillId="0" borderId="5" xfId="0" applyFont="1" applyBorder="1" applyAlignment="1">
      <alignment indent="1"/>
    </xf>
    <xf numFmtId="167" fontId="2" fillId="0" borderId="5" xfId="0" applyNumberFormat="1" applyFont="1" applyBorder="1"/>
    <xf numFmtId="167" fontId="2" fillId="0" borderId="9" xfId="0" applyNumberFormat="1" applyFont="1" applyBorder="1"/>
    <xf numFmtId="0" fontId="4" fillId="0" borderId="0" xfId="0" applyFont="1" applyAlignment="1">
      <alignment horizontal="left"/>
    </xf>
    <xf numFmtId="165" fontId="20" fillId="0" borderId="0" xfId="0" applyNumberFormat="1" applyFont="1"/>
    <xf numFmtId="165" fontId="20" fillId="0" borderId="7" xfId="0" applyNumberFormat="1" applyFont="1" applyBorder="1"/>
    <xf numFmtId="165" fontId="21" fillId="0" borderId="0" xfId="0" applyNumberFormat="1" applyFont="1"/>
    <xf numFmtId="165" fontId="10" fillId="0" borderId="7" xfId="0" applyNumberFormat="1" applyFont="1" applyBorder="1"/>
    <xf numFmtId="165" fontId="22" fillId="0" borderId="0" xfId="0" applyNumberFormat="1" applyFont="1"/>
    <xf numFmtId="165" fontId="4" fillId="0" borderId="0" xfId="0" applyNumberFormat="1" applyFont="1"/>
    <xf numFmtId="0" fontId="24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3" borderId="10" xfId="0" applyFont="1" applyFill="1" applyBorder="1"/>
    <xf numFmtId="0" fontId="14" fillId="3" borderId="0" xfId="0" applyFont="1" applyFill="1"/>
    <xf numFmtId="0" fontId="25" fillId="0" borderId="0" xfId="0" applyFont="1" applyAlignment="1">
      <alignment indent="1"/>
    </xf>
    <xf numFmtId="0" fontId="26" fillId="0" borderId="0" xfId="0" applyFont="1" applyAlignment="1">
      <alignment indent="1"/>
    </xf>
    <xf numFmtId="167" fontId="7" fillId="0" borderId="7" xfId="0" applyNumberFormat="1" applyFont="1" applyBorder="1"/>
    <xf numFmtId="167" fontId="7" fillId="0" borderId="0" xfId="0" applyNumberFormat="1" applyFont="1"/>
    <xf numFmtId="0" fontId="20" fillId="0" borderId="0" xfId="0" applyFont="1" applyAlignment="1">
      <alignment indent="1"/>
    </xf>
    <xf numFmtId="168" fontId="7" fillId="0" borderId="7" xfId="0" applyNumberFormat="1" applyFont="1" applyBorder="1"/>
    <xf numFmtId="168" fontId="7" fillId="0" borderId="0" xfId="0" applyNumberFormat="1" applyFont="1"/>
    <xf numFmtId="169" fontId="7" fillId="0" borderId="7" xfId="0" applyNumberFormat="1" applyFont="1" applyBorder="1"/>
    <xf numFmtId="169" fontId="7" fillId="0" borderId="0" xfId="0" applyNumberFormat="1" applyFont="1"/>
    <xf numFmtId="169" fontId="7" fillId="0" borderId="3" xfId="0" applyNumberFormat="1" applyFont="1" applyBorder="1"/>
    <xf numFmtId="0" fontId="13" fillId="0" borderId="4" xfId="0" applyFont="1" applyBorder="1" applyAlignment="1">
      <alignment indent="1"/>
    </xf>
    <xf numFmtId="167" fontId="4" fillId="0" borderId="4" xfId="0" applyNumberFormat="1" applyFont="1" applyBorder="1"/>
    <xf numFmtId="167" fontId="4" fillId="0" borderId="8" xfId="0" applyNumberFormat="1" applyFont="1" applyBorder="1"/>
    <xf numFmtId="167" fontId="4" fillId="0" borderId="6" xfId="0" applyNumberFormat="1" applyFont="1" applyBorder="1"/>
    <xf numFmtId="167" fontId="4" fillId="0" borderId="3" xfId="0" applyNumberFormat="1" applyFont="1" applyBorder="1"/>
    <xf numFmtId="0" fontId="13" fillId="0" borderId="2" xfId="0" applyFont="1" applyBorder="1" applyAlignment="1">
      <alignment indent="1"/>
    </xf>
    <xf numFmtId="167" fontId="4" fillId="0" borderId="2" xfId="0" applyNumberFormat="1" applyFont="1" applyBorder="1"/>
    <xf numFmtId="1" fontId="25" fillId="3" borderId="2" xfId="0" applyNumberFormat="1" applyFont="1" applyFill="1" applyBorder="1"/>
    <xf numFmtId="1" fontId="27" fillId="3" borderId="2" xfId="0" applyNumberFormat="1" applyFont="1" applyFill="1" applyBorder="1" applyAlignment="1">
      <alignment indent="1"/>
    </xf>
    <xf numFmtId="169" fontId="2" fillId="3" borderId="2" xfId="0" applyNumberFormat="1" applyFont="1" applyFill="1" applyBorder="1"/>
    <xf numFmtId="169" fontId="2" fillId="3" borderId="10" xfId="0" applyNumberFormat="1" applyFont="1" applyFill="1" applyBorder="1"/>
    <xf numFmtId="1" fontId="25" fillId="3" borderId="0" xfId="0" applyNumberFormat="1" applyFont="1" applyFill="1"/>
    <xf numFmtId="1" fontId="17" fillId="3" borderId="4" xfId="0" applyNumberFormat="1" applyFont="1" applyFill="1" applyBorder="1"/>
    <xf numFmtId="0" fontId="28" fillId="0" borderId="0" xfId="0" applyFont="1" applyAlignment="1">
      <alignment indent="1"/>
    </xf>
    <xf numFmtId="170" fontId="7" fillId="0" borderId="7" xfId="0" applyNumberFormat="1" applyFont="1" applyBorder="1"/>
    <xf numFmtId="170" fontId="7" fillId="0" borderId="0" xfId="0" applyNumberFormat="1" applyFont="1"/>
    <xf numFmtId="0" fontId="15" fillId="3" borderId="2" xfId="0" applyFont="1" applyFill="1" applyBorder="1"/>
    <xf numFmtId="1" fontId="29" fillId="3" borderId="2" xfId="0" applyNumberFormat="1" applyFont="1" applyFill="1" applyBorder="1" applyAlignment="1">
      <alignment horizontal="left" vertical="center" indent="1"/>
    </xf>
    <xf numFmtId="0" fontId="15" fillId="3" borderId="0" xfId="0" applyFont="1" applyFill="1"/>
    <xf numFmtId="0" fontId="18" fillId="3" borderId="2" xfId="0" applyFont="1" applyFill="1" applyBorder="1" applyAlignment="1">
      <alignment horizontal="left" vertical="center" indent="1"/>
    </xf>
    <xf numFmtId="167" fontId="2" fillId="3" borderId="2" xfId="0" applyNumberFormat="1" applyFont="1" applyFill="1" applyBorder="1"/>
    <xf numFmtId="167" fontId="2" fillId="3" borderId="10" xfId="0" applyNumberFormat="1" applyFont="1" applyFill="1" applyBorder="1"/>
    <xf numFmtId="0" fontId="13" fillId="0" borderId="0" xfId="0" applyFont="1" applyAlignment="1">
      <alignment indent="1"/>
    </xf>
    <xf numFmtId="0" fontId="20" fillId="0" borderId="0" xfId="0" applyFont="1" applyAlignment="1">
      <alignment horizontal="left" indent="1"/>
    </xf>
    <xf numFmtId="171" fontId="30" fillId="0" borderId="0" xfId="0" applyNumberFormat="1" applyFont="1"/>
    <xf numFmtId="171" fontId="30" fillId="0" borderId="4" xfId="0" applyNumberFormat="1" applyFont="1" applyBorder="1"/>
    <xf numFmtId="171" fontId="10" fillId="0" borderId="7" xfId="0" applyNumberFormat="1" applyFont="1" applyBorder="1"/>
    <xf numFmtId="171" fontId="10" fillId="0" borderId="0" xfId="0" applyNumberFormat="1" applyFont="1"/>
    <xf numFmtId="165" fontId="30" fillId="0" borderId="0" xfId="0" applyNumberFormat="1" applyFont="1"/>
    <xf numFmtId="0" fontId="31" fillId="0" borderId="0" xfId="0" applyFont="1" applyAlignment="1">
      <alignment horizontal="left" wrapText="1" indent="1"/>
    </xf>
    <xf numFmtId="0" fontId="31" fillId="0" borderId="0" xfId="0" applyFont="1" applyAlignment="1">
      <alignment horizontal="left" indent="1"/>
    </xf>
    <xf numFmtId="171" fontId="30" fillId="0" borderId="0" xfId="0" applyNumberFormat="1" applyFont="1" applyAlignment="1">
      <alignment horizontal="right" wrapText="1"/>
    </xf>
    <xf numFmtId="172" fontId="30" fillId="0" borderId="0" xfId="0" applyNumberFormat="1" applyFont="1" applyAlignment="1">
      <alignment horizontal="right" wrapText="1"/>
    </xf>
    <xf numFmtId="167" fontId="10" fillId="0" borderId="7" xfId="0" applyNumberFormat="1" applyFont="1" applyBorder="1"/>
    <xf numFmtId="167" fontId="32" fillId="0" borderId="0" xfId="0" applyNumberFormat="1" applyFont="1"/>
    <xf numFmtId="167" fontId="10" fillId="0" borderId="0" xfId="0" applyNumberFormat="1" applyFont="1" applyAlignment="1">
      <alignment horizontal="right"/>
    </xf>
    <xf numFmtId="0" fontId="15" fillId="0" borderId="0" xfId="0" applyFont="1" applyAlignment="1">
      <alignment indent="1"/>
    </xf>
    <xf numFmtId="0" fontId="25" fillId="0" borderId="4" xfId="0" applyFont="1" applyBorder="1" applyAlignment="1">
      <alignment indent="1"/>
    </xf>
    <xf numFmtId="167" fontId="4" fillId="0" borderId="5" xfId="0" applyNumberFormat="1" applyFont="1" applyBorder="1"/>
    <xf numFmtId="167" fontId="4" fillId="0" borderId="9" xfId="0" applyNumberFormat="1" applyFont="1" applyBorder="1"/>
    <xf numFmtId="0" fontId="0" fillId="3" borderId="2" xfId="0" applyFill="1" applyBorder="1"/>
    <xf numFmtId="0" fontId="34" fillId="0" borderId="0" xfId="0" applyFont="1"/>
    <xf numFmtId="2" fontId="4" fillId="0" borderId="0" xfId="0" applyNumberFormat="1" applyFont="1"/>
    <xf numFmtId="165" fontId="2" fillId="0" borderId="4" xfId="0" applyNumberFormat="1" applyFont="1" applyBorder="1"/>
    <xf numFmtId="164" fontId="10" fillId="0" borderId="0" xfId="0" applyNumberFormat="1" applyFont="1"/>
    <xf numFmtId="3" fontId="4" fillId="0" borderId="0" xfId="0" applyNumberFormat="1" applyFont="1"/>
    <xf numFmtId="0" fontId="2" fillId="0" borderId="0" xfId="0" applyFont="1" applyAlignment="1">
      <alignment indent="1"/>
    </xf>
    <xf numFmtId="3" fontId="2" fillId="0" borderId="0" xfId="0" applyNumberFormat="1" applyFont="1"/>
    <xf numFmtId="3" fontId="10" fillId="0" borderId="0" xfId="0" applyNumberFormat="1" applyFont="1"/>
    <xf numFmtId="3" fontId="2" fillId="0" borderId="4" xfId="0" applyNumberFormat="1" applyFont="1" applyBorder="1"/>
    <xf numFmtId="0" fontId="35" fillId="0" borderId="5" xfId="0" applyFont="1" applyBorder="1" applyAlignment="1">
      <alignment indent="1"/>
    </xf>
    <xf numFmtId="165" fontId="35" fillId="0" borderId="5" xfId="0" applyNumberFormat="1" applyFont="1" applyBorder="1"/>
    <xf numFmtId="173" fontId="10" fillId="0" borderId="0" xfId="0" applyNumberFormat="1" applyFont="1"/>
    <xf numFmtId="0" fontId="36" fillId="0" borderId="3" xfId="0" applyFont="1" applyBorder="1" applyAlignment="1">
      <alignment horizontal="center"/>
    </xf>
    <xf numFmtId="0" fontId="16" fillId="0" borderId="0" xfId="0" applyFont="1" applyAlignment="1">
      <alignment indent="1"/>
    </xf>
    <xf numFmtId="165" fontId="37" fillId="0" borderId="0" xfId="0" applyNumberFormat="1" applyFont="1"/>
    <xf numFmtId="0" fontId="21" fillId="0" borderId="0" xfId="0" applyFont="1" applyAlignment="1">
      <alignment indent="1"/>
    </xf>
    <xf numFmtId="0" fontId="38" fillId="0" borderId="0" xfId="0" applyFont="1"/>
    <xf numFmtId="1" fontId="10" fillId="0" borderId="0" xfId="0" applyNumberFormat="1" applyFont="1"/>
    <xf numFmtId="174" fontId="7" fillId="0" borderId="0" xfId="0" applyNumberFormat="1" applyFont="1"/>
    <xf numFmtId="0" fontId="18" fillId="0" borderId="0" xfId="0" applyFont="1"/>
    <xf numFmtId="167" fontId="36" fillId="0" borderId="0" xfId="0" applyNumberFormat="1" applyFont="1"/>
    <xf numFmtId="175" fontId="10" fillId="0" borderId="0" xfId="0" applyNumberFormat="1" applyFont="1"/>
    <xf numFmtId="167" fontId="2" fillId="0" borderId="0" xfId="0" applyNumberFormat="1" applyFont="1"/>
    <xf numFmtId="176" fontId="2" fillId="0" borderId="5" xfId="0" applyNumberFormat="1" applyFont="1" applyBorder="1"/>
    <xf numFmtId="176" fontId="7" fillId="0" borderId="0" xfId="0" applyNumberFormat="1" applyFont="1"/>
    <xf numFmtId="175" fontId="4" fillId="0" borderId="0" xfId="0" applyNumberFormat="1" applyFont="1"/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  <xf numFmtId="176" fontId="39" fillId="0" borderId="0" xfId="0" applyNumberFormat="1" applyFont="1"/>
    <xf numFmtId="0" fontId="18" fillId="0" borderId="3" xfId="0" applyFont="1" applyBorder="1" applyAlignment="1">
      <alignment horizontal="left" indent="1"/>
    </xf>
    <xf numFmtId="0" fontId="18" fillId="0" borderId="3" xfId="0" applyFont="1" applyBorder="1" applyAlignment="1">
      <alignment horizontal="center"/>
    </xf>
    <xf numFmtId="176" fontId="10" fillId="0" borderId="0" xfId="0" applyNumberFormat="1" applyFont="1"/>
    <xf numFmtId="176" fontId="4" fillId="0" borderId="0" xfId="0" applyNumberFormat="1" applyFont="1"/>
    <xf numFmtId="0" fontId="9" fillId="0" borderId="0" xfId="0" applyFont="1" applyAlignment="1">
      <alignment horizontal="right"/>
    </xf>
    <xf numFmtId="0" fontId="40" fillId="0" borderId="0" xfId="0" applyFont="1"/>
    <xf numFmtId="164" fontId="2" fillId="0" borderId="0" xfId="0" applyNumberFormat="1" applyFont="1"/>
    <xf numFmtId="0" fontId="4" fillId="0" borderId="4" xfId="0" applyFont="1" applyBorder="1"/>
    <xf numFmtId="164" fontId="7" fillId="0" borderId="4" xfId="0" applyNumberFormat="1" applyFont="1" applyBorder="1"/>
    <xf numFmtId="0" fontId="41" fillId="0" borderId="0" xfId="0" applyFont="1"/>
    <xf numFmtId="0" fontId="1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/>
    <xf numFmtId="0" fontId="3" fillId="3" borderId="4" xfId="0" applyFont="1" applyFill="1" applyBorder="1"/>
    <xf numFmtId="0" fontId="3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1838"/>
      <rgbColor rgb="FF808000"/>
      <rgbColor rgb="FF800080"/>
      <rgbColor rgb="FF1E7B4D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D5BFF"/>
      <rgbColor rgb="FF33CCCC"/>
      <rgbColor rgb="FF99CC00"/>
      <rgbColor rgb="FFFFCC00"/>
      <rgbColor rgb="FFFF9900"/>
      <rgbColor rgb="FFFF6600"/>
      <rgbColor rgb="FF595959"/>
      <rgbColor rgb="FFB3B3B3"/>
      <rgbColor rgb="FF17375E"/>
      <rgbColor rgb="FF339966"/>
      <rgbColor rgb="FF0E183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Cover!$O$6:$O$9</c:f>
              <c:strCache>
                <c:ptCount val="4"/>
                <c:pt idx="0">
                  <c:v>52-Week Range</c:v>
                </c:pt>
                <c:pt idx="1">
                  <c:v>DCF - Perpetuity</c:v>
                </c:pt>
                <c:pt idx="2">
                  <c:v>DCF - Exit Multiple</c:v>
                </c:pt>
                <c:pt idx="3">
                  <c:v>Current Price</c:v>
                </c:pt>
              </c:strCache>
            </c:strRef>
          </c:cat>
          <c:val>
            <c:numRef>
              <c:f>Cover!$K$6:$K$9</c:f>
              <c:numCache>
                <c:formatCode>\$#,##0.00</c:formatCode>
                <c:ptCount val="4"/>
                <c:pt idx="0">
                  <c:v>42.25</c:v>
                </c:pt>
                <c:pt idx="1">
                  <c:v>66.307099107272307</c:v>
                </c:pt>
                <c:pt idx="2">
                  <c:v>70.405197915512147</c:v>
                </c:pt>
                <c:pt idx="3">
                  <c:v>60.07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C-43FA-BE43-591B1294A1B4}"/>
            </c:ext>
          </c:extLst>
        </c:ser>
        <c:ser>
          <c:idx val="1"/>
          <c:order val="1"/>
          <c:spPr>
            <a:solidFill>
              <a:srgbClr val="2D5BFF"/>
            </a:solidFill>
            <a:ln w="0">
              <a:noFill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0A183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814C-43FA-BE43-591B1294A1B4}"/>
              </c:ext>
            </c:extLst>
          </c:dPt>
          <c:dLbls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4C-43FA-BE43-591B1294A1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Cover!$O$6:$O$9</c:f>
              <c:strCache>
                <c:ptCount val="4"/>
                <c:pt idx="0">
                  <c:v>52-Week Range</c:v>
                </c:pt>
                <c:pt idx="1">
                  <c:v>DCF - Perpetuity</c:v>
                </c:pt>
                <c:pt idx="2">
                  <c:v>DCF - Exit Multiple</c:v>
                </c:pt>
                <c:pt idx="3">
                  <c:v>Current Price</c:v>
                </c:pt>
              </c:strCache>
            </c:strRef>
          </c:cat>
          <c:val>
            <c:numRef>
              <c:f>Cover!$L$6:$L$9</c:f>
              <c:numCache>
                <c:formatCode>\$#,##0.00</c:formatCode>
                <c:ptCount val="4"/>
                <c:pt idx="0">
                  <c:v>60.75</c:v>
                </c:pt>
                <c:pt idx="1">
                  <c:v>33.401758452941877</c:v>
                </c:pt>
                <c:pt idx="2">
                  <c:v>12.82712105510744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4C-43FA-BE43-591B1294A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4441076"/>
        <c:axId val="98863448"/>
      </c:barChart>
      <c:catAx>
        <c:axId val="544410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63448"/>
        <c:crosses val="autoZero"/>
        <c:auto val="1"/>
        <c:lblAlgn val="ctr"/>
        <c:lblOffset val="100"/>
        <c:noMultiLvlLbl val="0"/>
      </c:catAx>
      <c:valAx>
        <c:axId val="98863448"/>
        <c:scaling>
          <c:orientation val="minMax"/>
          <c:min val="20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441076"/>
        <c:crosses val="max"/>
        <c:crossBetween val="between"/>
      </c:valAx>
      <c:spPr>
        <a:noFill/>
        <a:ln w="0">
          <a:noFill/>
        </a:ln>
      </c:spPr>
    </c:plotArea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RBRK — Implied Valuation Range ($ / 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DCF!$C$58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numFmt formatCode="\$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0E1830"/>
                    </a:solidFill>
                    <a:latin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DCF!$B$59:$B$61</c:f>
              <c:strCache>
                <c:ptCount val="3"/>
                <c:pt idx="0">
                  <c:v>52-Week Trading Range</c:v>
                </c:pt>
                <c:pt idx="1">
                  <c:v>DCF — Perpetuity Growth (sensitivity range)</c:v>
                </c:pt>
                <c:pt idx="2">
                  <c:v>DCF — Exit Multiple (±2.0x around base case)</c:v>
                </c:pt>
              </c:strCache>
            </c:strRef>
          </c:cat>
          <c:val>
            <c:numRef>
              <c:f>DCF!$C$59:$C$61</c:f>
              <c:numCache>
                <c:formatCode>\$#,##0.00;"($"#,##0.00\);\-</c:formatCode>
                <c:ptCount val="3"/>
                <c:pt idx="0">
                  <c:v>42.25</c:v>
                </c:pt>
                <c:pt idx="1">
                  <c:v>66.307099107272307</c:v>
                </c:pt>
                <c:pt idx="2">
                  <c:v>70.405197915512147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9-44A4-83B7-7FF9B9C91BBA}"/>
            </c:ext>
          </c:extLst>
        </c:ser>
        <c:ser>
          <c:idx val="1"/>
          <c:order val="1"/>
          <c:tx>
            <c:strRef>
              <c:f>DCF!$E$58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2D5BFF"/>
            </a:solidFill>
            <a:ln w="0">
              <a:solidFill>
                <a:srgbClr val="1B2A4A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399-44A4-83B7-7FF9B9C91BB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399-44A4-83B7-7FF9B9C91BB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1399-44A4-83B7-7FF9B9C91BB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97B6001-6CA2-4AB0-9A25-3451E87FB3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399-44A4-83B7-7FF9B9C91B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475E67-1F9D-490C-B352-A34DED1A70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399-44A4-83B7-7FF9B9C91BB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E1D798-23C4-4608-AE8A-4ABF827660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399-44A4-83B7-7FF9B9C91BBA}"/>
                </c:ext>
              </c:extLst>
            </c:dLbl>
            <c:numFmt formatCode="\$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DCF!$B$59:$B$61</c:f>
              <c:strCache>
                <c:ptCount val="3"/>
                <c:pt idx="0">
                  <c:v>52-Week Trading Range</c:v>
                </c:pt>
                <c:pt idx="1">
                  <c:v>DCF — Perpetuity Growth (sensitivity range)</c:v>
                </c:pt>
                <c:pt idx="2">
                  <c:v>DCF — Exit Multiple (±2.0x around base case)</c:v>
                </c:pt>
              </c:strCache>
            </c:strRef>
          </c:cat>
          <c:val>
            <c:numRef>
              <c:f>DCF!$E$59:$E$61</c:f>
              <c:numCache>
                <c:formatCode>\$#,##0.00;"($"#,##0.00\);\-</c:formatCode>
                <c:ptCount val="3"/>
                <c:pt idx="0">
                  <c:v>60.75</c:v>
                </c:pt>
                <c:pt idx="1">
                  <c:v>33.401758452941877</c:v>
                </c:pt>
                <c:pt idx="2">
                  <c:v>12.82712105510744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DCF!$D$59:$D$61</c15:f>
                <c15:dlblRangeCache>
                  <c:ptCount val="3"/>
                  <c:pt idx="0">
                    <c:v>$103.00</c:v>
                  </c:pt>
                  <c:pt idx="1">
                    <c:v>$99.71</c:v>
                  </c:pt>
                  <c:pt idx="2">
                    <c:v>$83.23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1399-44A4-83B7-7FF9B9C91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80830"/>
        <c:axId val="45715217"/>
      </c:barChart>
      <c:catAx>
        <c:axId val="238083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715217"/>
        <c:crosses val="autoZero"/>
        <c:auto val="1"/>
        <c:lblAlgn val="ctr"/>
        <c:lblOffset val="100"/>
        <c:noMultiLvlLbl val="0"/>
      </c:catAx>
      <c:valAx>
        <c:axId val="45715217"/>
        <c:scaling>
          <c:orientation val="minMax"/>
        </c:scaling>
        <c:delete val="1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;&quot;($&quot;#,##0.00\);\-" sourceLinked="1"/>
        <c:majorTickMark val="none"/>
        <c:minorTickMark val="none"/>
        <c:tickLblPos val="nextTo"/>
        <c:crossAx val="23808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16</xdr:col>
      <xdr:colOff>104760</xdr:colOff>
      <xdr:row>27</xdr:row>
      <xdr:rowOff>181440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6</xdr:col>
      <xdr:colOff>145080</xdr:colOff>
      <xdr:row>79</xdr:row>
      <xdr:rowOff>160920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showGridLines="0" zoomScale="87" zoomScaleNormal="100" workbookViewId="0">
      <selection activeCell="S11" sqref="S11"/>
    </sheetView>
  </sheetViews>
  <sheetFormatPr defaultColWidth="8.6640625" defaultRowHeight="14.25" x14ac:dyDescent="0.45"/>
  <cols>
    <col min="1" max="1" width="2" customWidth="1"/>
    <col min="2" max="2" width="34" customWidth="1"/>
    <col min="3" max="3" width="13" customWidth="1"/>
    <col min="4" max="4" width="11" customWidth="1"/>
    <col min="5" max="5" width="13" customWidth="1"/>
    <col min="6" max="6" width="3" customWidth="1"/>
    <col min="7" max="7" width="36" customWidth="1"/>
    <col min="8" max="10" width="11" customWidth="1"/>
    <col min="11" max="15" width="3" hidden="1" customWidth="1"/>
  </cols>
  <sheetData>
    <row r="1" spans="1:15" ht="24" customHeight="1" thickBot="1" x14ac:dyDescent="0.5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</row>
    <row r="2" spans="1:15" ht="15" customHeight="1" thickTop="1" x14ac:dyDescent="0.45">
      <c r="B2" s="4" t="s">
        <v>1</v>
      </c>
    </row>
    <row r="3" spans="1:15" ht="15" customHeight="1" x14ac:dyDescent="0.45"/>
    <row r="4" spans="1:15" ht="15" customHeight="1" x14ac:dyDescent="0.45">
      <c r="B4" s="158" t="s">
        <v>2</v>
      </c>
      <c r="C4" s="158"/>
      <c r="D4" s="158"/>
      <c r="E4" s="158"/>
      <c r="G4" s="158" t="s">
        <v>3</v>
      </c>
      <c r="H4" s="158"/>
      <c r="I4" s="158"/>
      <c r="J4" s="158"/>
    </row>
    <row r="5" spans="1:15" ht="15" customHeight="1" x14ac:dyDescent="0.45">
      <c r="B5" s="151" t="s">
        <v>4</v>
      </c>
      <c r="C5" s="5" t="s">
        <v>5</v>
      </c>
      <c r="G5" s="6" t="s">
        <v>6</v>
      </c>
      <c r="H5" s="7" t="s">
        <v>7</v>
      </c>
      <c r="I5" s="7" t="s">
        <v>8</v>
      </c>
      <c r="J5" s="7" t="s">
        <v>9</v>
      </c>
      <c r="K5" s="8" t="s">
        <v>10</v>
      </c>
    </row>
    <row r="6" spans="1:15" ht="15" customHeight="1" x14ac:dyDescent="0.45">
      <c r="B6" s="151" t="s">
        <v>11</v>
      </c>
      <c r="C6" s="5" t="s">
        <v>12</v>
      </c>
      <c r="G6" s="5" t="s">
        <v>13</v>
      </c>
      <c r="H6" s="9">
        <f>DCF!C59</f>
        <v>42.25</v>
      </c>
      <c r="I6" s="9">
        <f>DCF!D59</f>
        <v>103</v>
      </c>
      <c r="J6" s="10">
        <f>AVERAGE(H6:I6)</f>
        <v>72.625</v>
      </c>
      <c r="K6" s="11">
        <f>H6</f>
        <v>42.25</v>
      </c>
      <c r="L6" s="11">
        <f>I6-H6</f>
        <v>60.75</v>
      </c>
      <c r="M6" s="12" t="str">
        <f t="shared" ref="M6:N8" si="0">TEXT(H6,"$0")</f>
        <v>$42</v>
      </c>
      <c r="N6" s="12" t="str">
        <f t="shared" si="0"/>
        <v>$103</v>
      </c>
      <c r="O6" s="12" t="s">
        <v>14</v>
      </c>
    </row>
    <row r="7" spans="1:15" ht="15" customHeight="1" x14ac:dyDescent="0.45">
      <c r="B7" s="151" t="s">
        <v>15</v>
      </c>
      <c r="C7" s="5" t="s">
        <v>16</v>
      </c>
      <c r="G7" s="5" t="s">
        <v>17</v>
      </c>
      <c r="H7" s="9">
        <f>DCF!C60</f>
        <v>66.307099107272307</v>
      </c>
      <c r="I7" s="9">
        <f>DCF!D60</f>
        <v>99.708857560214184</v>
      </c>
      <c r="J7" s="10">
        <f>AVERAGE(H7:I7)</f>
        <v>83.007978333743239</v>
      </c>
      <c r="K7" s="11">
        <f>H7</f>
        <v>66.307099107272307</v>
      </c>
      <c r="L7" s="11">
        <f>I7-H7</f>
        <v>33.401758452941877</v>
      </c>
      <c r="M7" s="12" t="str">
        <f t="shared" si="0"/>
        <v>$66</v>
      </c>
      <c r="N7" s="12" t="str">
        <f t="shared" si="0"/>
        <v>$100</v>
      </c>
      <c r="O7" s="12" t="s">
        <v>18</v>
      </c>
    </row>
    <row r="8" spans="1:15" ht="15" customHeight="1" x14ac:dyDescent="0.45">
      <c r="B8" s="151" t="s">
        <v>19</v>
      </c>
      <c r="C8" s="5" t="s">
        <v>20</v>
      </c>
      <c r="G8" s="5" t="s">
        <v>21</v>
      </c>
      <c r="H8" s="9">
        <f>DCF!C61</f>
        <v>70.405197915512147</v>
      </c>
      <c r="I8" s="9">
        <f>DCF!D61</f>
        <v>83.232318970619588</v>
      </c>
      <c r="J8" s="10">
        <f>AVERAGE(H8:I8)</f>
        <v>76.81875844306586</v>
      </c>
      <c r="K8" s="11">
        <f>H8</f>
        <v>70.405197915512147</v>
      </c>
      <c r="L8" s="11">
        <f>I8-H8</f>
        <v>12.82712105510744</v>
      </c>
      <c r="M8" s="12" t="str">
        <f t="shared" si="0"/>
        <v>$70</v>
      </c>
      <c r="N8" s="12" t="str">
        <f t="shared" si="0"/>
        <v>$83</v>
      </c>
      <c r="O8" s="12" t="s">
        <v>22</v>
      </c>
    </row>
    <row r="9" spans="1:15" ht="15" customHeight="1" x14ac:dyDescent="0.45">
      <c r="B9" s="151" t="s">
        <v>23</v>
      </c>
      <c r="C9" s="5" t="s">
        <v>24</v>
      </c>
      <c r="G9" s="13" t="s">
        <v>25</v>
      </c>
      <c r="H9" s="14">
        <f>C14</f>
        <v>60.47</v>
      </c>
      <c r="I9" s="14"/>
      <c r="J9" s="15"/>
      <c r="K9" s="11">
        <f>C14-0.4</f>
        <v>60.07</v>
      </c>
      <c r="L9" s="11">
        <v>0.8</v>
      </c>
      <c r="M9" s="12" t="str">
        <f>"Current $"&amp;TEXT(C14,"0.00")</f>
        <v>Current $60.47</v>
      </c>
      <c r="N9" s="12"/>
      <c r="O9" s="12" t="s">
        <v>26</v>
      </c>
    </row>
    <row r="10" spans="1:15" ht="15" customHeight="1" x14ac:dyDescent="0.45">
      <c r="B10" s="151" t="s">
        <v>27</v>
      </c>
      <c r="C10" s="5" t="s">
        <v>28</v>
      </c>
    </row>
    <row r="11" spans="1:15" ht="15" customHeight="1" x14ac:dyDescent="0.45">
      <c r="B11" s="151" t="s">
        <v>29</v>
      </c>
      <c r="C11" s="5" t="s">
        <v>30</v>
      </c>
    </row>
    <row r="12" spans="1:15" ht="15" customHeight="1" x14ac:dyDescent="0.45"/>
    <row r="13" spans="1:15" ht="15" customHeight="1" x14ac:dyDescent="0.45">
      <c r="B13" s="159" t="s">
        <v>31</v>
      </c>
      <c r="C13" s="159"/>
      <c r="D13" s="158"/>
      <c r="E13" s="158"/>
    </row>
    <row r="14" spans="1:15" ht="15" customHeight="1" x14ac:dyDescent="0.45">
      <c r="B14" s="153" t="s">
        <v>32</v>
      </c>
      <c r="C14" s="154">
        <f>WACC!C15</f>
        <v>60.47</v>
      </c>
    </row>
    <row r="15" spans="1:15" ht="15" customHeight="1" x14ac:dyDescent="0.45">
      <c r="B15" s="4" t="s">
        <v>33</v>
      </c>
      <c r="C15" s="152">
        <f>E31</f>
        <v>78.224236607366066</v>
      </c>
    </row>
    <row r="16" spans="1:15" ht="15" customHeight="1" x14ac:dyDescent="0.45">
      <c r="B16" s="4" t="s">
        <v>34</v>
      </c>
      <c r="C16" s="16">
        <f>C15/C14-1</f>
        <v>0.29360404510279592</v>
      </c>
    </row>
    <row r="17" spans="2:5" ht="15" customHeight="1" x14ac:dyDescent="0.45">
      <c r="B17" s="5" t="s">
        <v>35</v>
      </c>
      <c r="C17" s="17" t="str">
        <f>IF(C16&gt;=0.15,"BUY",IF(C16&lt;=-0.15,"SELL","HOLD"))</f>
        <v>BUY</v>
      </c>
      <c r="D17" s="18"/>
    </row>
    <row r="18" spans="2:5" ht="15" customHeight="1" x14ac:dyDescent="0.45"/>
    <row r="19" spans="2:5" ht="15" customHeight="1" x14ac:dyDescent="0.45">
      <c r="B19" s="158" t="s">
        <v>36</v>
      </c>
      <c r="C19" s="158"/>
      <c r="D19" s="158"/>
      <c r="E19" s="158"/>
    </row>
    <row r="20" spans="2:5" ht="15" customHeight="1" x14ac:dyDescent="0.45">
      <c r="B20" s="5" t="s">
        <v>37</v>
      </c>
      <c r="C20" s="19">
        <f>WACC!C24</f>
        <v>9.6571990679904796E-2</v>
      </c>
    </row>
    <row r="21" spans="2:5" ht="15" customHeight="1" x14ac:dyDescent="0.45">
      <c r="B21" s="5" t="s">
        <v>38</v>
      </c>
      <c r="C21" s="19">
        <f>DCF!C25</f>
        <v>2.5000000000000001E-2</v>
      </c>
    </row>
    <row r="22" spans="2:5" ht="15" customHeight="1" x14ac:dyDescent="0.45">
      <c r="B22" s="5" t="s">
        <v>39</v>
      </c>
      <c r="C22" s="20">
        <f>DCF!E29</f>
        <v>11</v>
      </c>
    </row>
    <row r="23" spans="2:5" ht="15" customHeight="1" x14ac:dyDescent="0.45">
      <c r="B23" s="155" t="s">
        <v>40</v>
      </c>
      <c r="C23" s="19">
        <f>(IS!T5/IS!F5)^(1/14)-1</f>
        <v>0.138766193341888</v>
      </c>
    </row>
    <row r="24" spans="2:5" ht="15" customHeight="1" x14ac:dyDescent="0.45">
      <c r="B24" s="5" t="s">
        <v>41</v>
      </c>
      <c r="C24" s="19">
        <f>DCF!C27/DCF!C32</f>
        <v>0.4925214482270126</v>
      </c>
    </row>
    <row r="25" spans="2:5" ht="15" customHeight="1" x14ac:dyDescent="0.45">
      <c r="B25" s="5" t="s">
        <v>42</v>
      </c>
      <c r="C25" s="21">
        <f>WACC!C16</f>
        <v>228395.42339143375</v>
      </c>
    </row>
    <row r="26" spans="2:5" ht="15" customHeight="1" x14ac:dyDescent="0.45"/>
    <row r="27" spans="2:5" ht="15" customHeight="1" x14ac:dyDescent="0.45">
      <c r="B27" s="158" t="s">
        <v>43</v>
      </c>
      <c r="C27" s="158"/>
      <c r="D27" s="158"/>
      <c r="E27" s="158"/>
    </row>
    <row r="28" spans="2:5" ht="15" customHeight="1" x14ac:dyDescent="0.45">
      <c r="B28" s="6" t="s">
        <v>6</v>
      </c>
      <c r="C28" s="7" t="s">
        <v>44</v>
      </c>
      <c r="D28" s="7" t="s">
        <v>45</v>
      </c>
      <c r="E28" s="7" t="s">
        <v>46</v>
      </c>
    </row>
    <row r="29" spans="2:5" ht="15" customHeight="1" x14ac:dyDescent="0.45">
      <c r="B29" s="5" t="s">
        <v>47</v>
      </c>
      <c r="C29" s="9">
        <f>DCF!C39</f>
        <v>79.629714771666286</v>
      </c>
      <c r="D29" s="22">
        <v>0.5</v>
      </c>
      <c r="E29" s="10">
        <f>C29*D29</f>
        <v>39.814857385833143</v>
      </c>
    </row>
    <row r="30" spans="2:5" ht="15" customHeight="1" x14ac:dyDescent="0.45">
      <c r="B30" s="5" t="s">
        <v>22</v>
      </c>
      <c r="C30" s="9">
        <f>DCF!E39</f>
        <v>76.81875844306586</v>
      </c>
      <c r="D30" s="22">
        <v>0.5</v>
      </c>
      <c r="E30" s="10">
        <f>C30*D30</f>
        <v>38.40937922153293</v>
      </c>
    </row>
    <row r="31" spans="2:5" ht="15" customHeight="1" x14ac:dyDescent="0.45">
      <c r="B31" s="23" t="s">
        <v>48</v>
      </c>
      <c r="C31" s="24"/>
      <c r="D31" s="25">
        <f>SUM(D29:D30)</f>
        <v>1</v>
      </c>
      <c r="E31" s="26">
        <f>SUM(E29:E30)</f>
        <v>78.224236607366066</v>
      </c>
    </row>
    <row r="32" spans="2:5" ht="15" customHeight="1" x14ac:dyDescent="0.45"/>
    <row r="33" spans="2:2" ht="15" customHeight="1" x14ac:dyDescent="0.45"/>
    <row r="34" spans="2:2" ht="15" customHeight="1" x14ac:dyDescent="0.45">
      <c r="B34" s="18" t="s">
        <v>49</v>
      </c>
    </row>
    <row r="35" spans="2:2" ht="15" customHeight="1" x14ac:dyDescent="0.45">
      <c r="B35" s="18" t="s">
        <v>50</v>
      </c>
    </row>
    <row r="36" spans="2:2" ht="15" customHeight="1" x14ac:dyDescent="0.45"/>
  </sheetData>
  <mergeCells count="5">
    <mergeCell ref="B4:E4"/>
    <mergeCell ref="G4:J4"/>
    <mergeCell ref="B13:E13"/>
    <mergeCell ref="B19:E19"/>
    <mergeCell ref="B27:E2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0"/>
  <sheetViews>
    <sheetView showGridLines="0" tabSelected="1" zoomScale="73" zoomScaleNormal="73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C9" sqref="C9"/>
    </sheetView>
  </sheetViews>
  <sheetFormatPr defaultColWidth="8.6640625" defaultRowHeight="14.25" x14ac:dyDescent="0.45"/>
  <cols>
    <col min="1" max="1" width="2.46484375" customWidth="1"/>
    <col min="2" max="2" width="34" customWidth="1"/>
    <col min="3" max="10" width="13.46484375" customWidth="1"/>
    <col min="11" max="20" width="13" customWidth="1"/>
  </cols>
  <sheetData>
    <row r="1" spans="1:20" ht="15.75" customHeight="1" x14ac:dyDescent="0.45">
      <c r="A1" s="27"/>
      <c r="B1" s="156" t="s">
        <v>51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0" ht="14.25" customHeight="1" x14ac:dyDescent="0.45">
      <c r="A2" s="28"/>
      <c r="B2" s="29"/>
      <c r="C2" s="30" t="s">
        <v>52</v>
      </c>
      <c r="D2" s="30" t="s">
        <v>53</v>
      </c>
      <c r="E2" s="30" t="s">
        <v>54</v>
      </c>
      <c r="F2" s="30" t="s">
        <v>55</v>
      </c>
      <c r="G2" s="31" t="s">
        <v>56</v>
      </c>
      <c r="H2" s="30" t="s">
        <v>57</v>
      </c>
      <c r="I2" s="30" t="s">
        <v>58</v>
      </c>
      <c r="J2" s="30" t="s">
        <v>59</v>
      </c>
      <c r="K2" s="30" t="s">
        <v>60</v>
      </c>
      <c r="L2" s="30" t="s">
        <v>61</v>
      </c>
      <c r="M2" s="30" t="s">
        <v>62</v>
      </c>
      <c r="N2" s="30" t="s">
        <v>63</v>
      </c>
      <c r="O2" s="30" t="s">
        <v>64</v>
      </c>
      <c r="P2" s="30" t="s">
        <v>65</v>
      </c>
      <c r="Q2" s="30" t="s">
        <v>66</v>
      </c>
      <c r="R2" s="30" t="s">
        <v>67</v>
      </c>
      <c r="S2" s="30" t="s">
        <v>68</v>
      </c>
      <c r="T2" s="30" t="s">
        <v>69</v>
      </c>
    </row>
    <row r="3" spans="1:20" ht="13.5" customHeight="1" x14ac:dyDescent="0.45">
      <c r="A3" s="32"/>
      <c r="B3" s="157" t="s">
        <v>70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</row>
    <row r="4" spans="1:20" ht="14.25" customHeight="1" x14ac:dyDescent="0.45">
      <c r="A4" s="33"/>
      <c r="B4" s="34" t="s">
        <v>71</v>
      </c>
      <c r="C4" s="35">
        <v>599819</v>
      </c>
      <c r="D4" s="35">
        <v>627892</v>
      </c>
      <c r="E4" s="35">
        <v>886544</v>
      </c>
      <c r="F4" s="35">
        <v>1316191</v>
      </c>
      <c r="G4" s="36">
        <f t="shared" ref="G4:T4" si="0">F4*(1+G40)</f>
        <v>1750534.03</v>
      </c>
      <c r="H4" s="37">
        <f t="shared" si="0"/>
        <v>2240683.5584</v>
      </c>
      <c r="I4" s="37">
        <f t="shared" si="0"/>
        <v>2800854.4479999999</v>
      </c>
      <c r="J4" s="37">
        <f t="shared" si="0"/>
        <v>3417042.4265599996</v>
      </c>
      <c r="K4" s="37">
        <f t="shared" si="0"/>
        <v>4066280.4876063992</v>
      </c>
      <c r="L4" s="37">
        <f t="shared" si="0"/>
        <v>4716885.3656234229</v>
      </c>
      <c r="M4" s="37">
        <f t="shared" si="0"/>
        <v>5330080.4631544678</v>
      </c>
      <c r="N4" s="37">
        <f t="shared" si="0"/>
        <v>5863088.5094699152</v>
      </c>
      <c r="O4" s="37">
        <f t="shared" si="0"/>
        <v>6332135.5902275089</v>
      </c>
      <c r="P4" s="37">
        <f t="shared" si="0"/>
        <v>6775385.0815434353</v>
      </c>
      <c r="Q4" s="37">
        <f t="shared" si="0"/>
        <v>7181908.1864360422</v>
      </c>
      <c r="R4" s="37">
        <f t="shared" si="0"/>
        <v>7541003.5957578449</v>
      </c>
      <c r="S4" s="37">
        <f t="shared" si="0"/>
        <v>7842643.7395881591</v>
      </c>
      <c r="T4" s="37">
        <f t="shared" si="0"/>
        <v>8117136.2704737438</v>
      </c>
    </row>
    <row r="5" spans="1:20" ht="14.25" customHeight="1" x14ac:dyDescent="0.45">
      <c r="A5" s="38"/>
      <c r="B5" s="39" t="s">
        <v>72</v>
      </c>
      <c r="C5" s="40">
        <f>SUM(C4:C4)</f>
        <v>599819</v>
      </c>
      <c r="D5" s="40">
        <f>SUM(D4:D4)</f>
        <v>627892</v>
      </c>
      <c r="E5" s="40">
        <f>SUM(E4:E4)</f>
        <v>886544</v>
      </c>
      <c r="F5" s="40">
        <f>SUM(F4:F4)</f>
        <v>1316191</v>
      </c>
      <c r="G5" s="41">
        <f t="shared" ref="G5:T5" si="1">SUM(G4)</f>
        <v>1750534.03</v>
      </c>
      <c r="H5" s="40">
        <f t="shared" si="1"/>
        <v>2240683.5584</v>
      </c>
      <c r="I5" s="40">
        <f t="shared" si="1"/>
        <v>2800854.4479999999</v>
      </c>
      <c r="J5" s="40">
        <f t="shared" si="1"/>
        <v>3417042.4265599996</v>
      </c>
      <c r="K5" s="40">
        <f t="shared" si="1"/>
        <v>4066280.4876063992</v>
      </c>
      <c r="L5" s="40">
        <f t="shared" si="1"/>
        <v>4716885.3656234229</v>
      </c>
      <c r="M5" s="40">
        <f t="shared" si="1"/>
        <v>5330080.4631544678</v>
      </c>
      <c r="N5" s="40">
        <f t="shared" si="1"/>
        <v>5863088.5094699152</v>
      </c>
      <c r="O5" s="40">
        <f t="shared" si="1"/>
        <v>6332135.5902275089</v>
      </c>
      <c r="P5" s="40">
        <f t="shared" si="1"/>
        <v>6775385.0815434353</v>
      </c>
      <c r="Q5" s="40">
        <f t="shared" si="1"/>
        <v>7181908.1864360422</v>
      </c>
      <c r="R5" s="40">
        <f t="shared" si="1"/>
        <v>7541003.5957578449</v>
      </c>
      <c r="S5" s="40">
        <f t="shared" si="1"/>
        <v>7842643.7395881591</v>
      </c>
      <c r="T5" s="40">
        <f t="shared" si="1"/>
        <v>8117136.2704737438</v>
      </c>
    </row>
    <row r="6" spans="1:20" ht="14.25" customHeight="1" x14ac:dyDescent="0.45">
      <c r="A6" s="42"/>
      <c r="B6" s="43" t="s">
        <v>73</v>
      </c>
      <c r="C6" s="44" t="s">
        <v>74</v>
      </c>
      <c r="D6" s="44">
        <f t="shared" ref="D6:T6" si="2">D5/C5-1</f>
        <v>4.6802452073042122E-2</v>
      </c>
      <c r="E6" s="44">
        <f t="shared" si="2"/>
        <v>0.41193708472157642</v>
      </c>
      <c r="F6" s="44">
        <f t="shared" si="2"/>
        <v>0.48463133245501644</v>
      </c>
      <c r="G6" s="45">
        <f t="shared" si="2"/>
        <v>0.33000000000000007</v>
      </c>
      <c r="H6" s="44">
        <f t="shared" si="2"/>
        <v>0.28000000000000003</v>
      </c>
      <c r="I6" s="44">
        <f t="shared" si="2"/>
        <v>0.25</v>
      </c>
      <c r="J6" s="44">
        <f t="shared" si="2"/>
        <v>0.21999999999999997</v>
      </c>
      <c r="K6" s="44">
        <f t="shared" si="2"/>
        <v>0.18999999999999995</v>
      </c>
      <c r="L6" s="44">
        <f t="shared" si="2"/>
        <v>0.15999999999999992</v>
      </c>
      <c r="M6" s="44">
        <f t="shared" si="2"/>
        <v>0.12999999999999989</v>
      </c>
      <c r="N6" s="44">
        <f t="shared" si="2"/>
        <v>0.10000000000000009</v>
      </c>
      <c r="O6" s="44">
        <f t="shared" si="2"/>
        <v>8.0000000000000071E-2</v>
      </c>
      <c r="P6" s="44">
        <f t="shared" si="2"/>
        <v>7.0000000000000062E-2</v>
      </c>
      <c r="Q6" s="44">
        <f t="shared" si="2"/>
        <v>6.0000000000000053E-2</v>
      </c>
      <c r="R6" s="44">
        <f t="shared" si="2"/>
        <v>5.0000000000000044E-2</v>
      </c>
      <c r="S6" s="44">
        <f t="shared" si="2"/>
        <v>4.0000000000000036E-2</v>
      </c>
      <c r="T6" s="44">
        <f t="shared" si="2"/>
        <v>3.499999999999992E-2</v>
      </c>
    </row>
    <row r="7" spans="1:20" ht="14.25" customHeight="1" x14ac:dyDescent="0.45">
      <c r="A7" s="33"/>
      <c r="B7" s="5"/>
      <c r="C7" s="33"/>
      <c r="D7" s="33"/>
      <c r="E7" s="33"/>
      <c r="F7" s="33"/>
      <c r="G7" s="46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</row>
    <row r="8" spans="1:20" s="47" customFormat="1" ht="13.5" customHeight="1" x14ac:dyDescent="0.45">
      <c r="A8" s="32"/>
      <c r="B8" s="157" t="s">
        <v>75</v>
      </c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</row>
    <row r="9" spans="1:20" ht="14.25" customHeight="1" x14ac:dyDescent="0.45">
      <c r="A9" s="33"/>
      <c r="B9" s="34" t="s">
        <v>76</v>
      </c>
      <c r="C9" s="35">
        <v>182014</v>
      </c>
      <c r="D9" s="35">
        <v>144962</v>
      </c>
      <c r="E9" s="35">
        <v>265748</v>
      </c>
      <c r="F9" s="35">
        <v>261877</v>
      </c>
      <c r="G9" s="36">
        <f t="shared" ref="G9:T9" si="3">G5*(1-G32)</f>
        <v>350106.80599999992</v>
      </c>
      <c r="H9" s="37">
        <f t="shared" si="3"/>
        <v>436933.2938879999</v>
      </c>
      <c r="I9" s="37">
        <f t="shared" si="3"/>
        <v>532162.34511999984</v>
      </c>
      <c r="J9" s="37">
        <f t="shared" si="3"/>
        <v>632152.84891360009</v>
      </c>
      <c r="K9" s="37">
        <f t="shared" si="3"/>
        <v>731930.48776915204</v>
      </c>
      <c r="L9" s="37">
        <f t="shared" si="3"/>
        <v>849039.3658122163</v>
      </c>
      <c r="M9" s="37">
        <f t="shared" si="3"/>
        <v>959414.48336780444</v>
      </c>
      <c r="N9" s="37">
        <f t="shared" si="3"/>
        <v>1055355.931704585</v>
      </c>
      <c r="O9" s="37">
        <f t="shared" si="3"/>
        <v>1139784.406240952</v>
      </c>
      <c r="P9" s="37">
        <f t="shared" si="3"/>
        <v>1219569.3146778187</v>
      </c>
      <c r="Q9" s="37">
        <f t="shared" si="3"/>
        <v>1292743.4735584878</v>
      </c>
      <c r="R9" s="37">
        <f t="shared" si="3"/>
        <v>1357380.6472364124</v>
      </c>
      <c r="S9" s="37">
        <f t="shared" si="3"/>
        <v>1411675.8731258691</v>
      </c>
      <c r="T9" s="37">
        <f t="shared" si="3"/>
        <v>1461084.5286852743</v>
      </c>
    </row>
    <row r="10" spans="1:20" ht="14.25" customHeight="1" x14ac:dyDescent="0.45">
      <c r="A10" s="38"/>
      <c r="B10" s="39" t="s">
        <v>77</v>
      </c>
      <c r="C10" s="40">
        <f t="shared" ref="C10:T10" si="4">C5-C9</f>
        <v>417805</v>
      </c>
      <c r="D10" s="40">
        <f t="shared" si="4"/>
        <v>482930</v>
      </c>
      <c r="E10" s="40">
        <f t="shared" si="4"/>
        <v>620796</v>
      </c>
      <c r="F10" s="40">
        <f t="shared" si="4"/>
        <v>1054314</v>
      </c>
      <c r="G10" s="41">
        <f t="shared" si="4"/>
        <v>1400427.2240000002</v>
      </c>
      <c r="H10" s="40">
        <f t="shared" si="4"/>
        <v>1803750.2645120001</v>
      </c>
      <c r="I10" s="40">
        <f t="shared" si="4"/>
        <v>2268692.1028800001</v>
      </c>
      <c r="J10" s="40">
        <f t="shared" si="4"/>
        <v>2784889.5776463994</v>
      </c>
      <c r="K10" s="40">
        <f t="shared" si="4"/>
        <v>3334349.9998372472</v>
      </c>
      <c r="L10" s="40">
        <f t="shared" si="4"/>
        <v>3867845.9998112065</v>
      </c>
      <c r="M10" s="40">
        <f t="shared" si="4"/>
        <v>4370665.9797866633</v>
      </c>
      <c r="N10" s="40">
        <f t="shared" si="4"/>
        <v>4807732.5777653307</v>
      </c>
      <c r="O10" s="40">
        <f t="shared" si="4"/>
        <v>5192351.1839865567</v>
      </c>
      <c r="P10" s="40">
        <f t="shared" si="4"/>
        <v>5555815.7668656167</v>
      </c>
      <c r="Q10" s="40">
        <f t="shared" si="4"/>
        <v>5889164.7128775548</v>
      </c>
      <c r="R10" s="40">
        <f t="shared" si="4"/>
        <v>6183622.9485214325</v>
      </c>
      <c r="S10" s="40">
        <f t="shared" si="4"/>
        <v>6430967.8664622903</v>
      </c>
      <c r="T10" s="40">
        <f t="shared" si="4"/>
        <v>6656051.7417884693</v>
      </c>
    </row>
    <row r="11" spans="1:20" ht="14.25" customHeight="1" x14ac:dyDescent="0.45">
      <c r="A11" s="42"/>
      <c r="B11" s="43" t="s">
        <v>78</v>
      </c>
      <c r="C11" s="44">
        <f t="shared" ref="C11:T11" si="5">C10/C5</f>
        <v>0.69655179312425919</v>
      </c>
      <c r="D11" s="44">
        <f t="shared" si="5"/>
        <v>0.7691290858937524</v>
      </c>
      <c r="E11" s="44">
        <f t="shared" si="5"/>
        <v>0.70024274034904077</v>
      </c>
      <c r="F11" s="44">
        <f t="shared" si="5"/>
        <v>0.80103419640462514</v>
      </c>
      <c r="G11" s="45">
        <f t="shared" si="5"/>
        <v>0.8</v>
      </c>
      <c r="H11" s="44">
        <f t="shared" si="5"/>
        <v>0.80500000000000005</v>
      </c>
      <c r="I11" s="44">
        <f t="shared" si="5"/>
        <v>0.81</v>
      </c>
      <c r="J11" s="44">
        <f t="shared" si="5"/>
        <v>0.81499999999999995</v>
      </c>
      <c r="K11" s="44">
        <f t="shared" si="5"/>
        <v>0.82</v>
      </c>
      <c r="L11" s="44">
        <f t="shared" si="5"/>
        <v>0.82</v>
      </c>
      <c r="M11" s="44">
        <f t="shared" si="5"/>
        <v>0.82</v>
      </c>
      <c r="N11" s="44">
        <f t="shared" si="5"/>
        <v>0.82000000000000006</v>
      </c>
      <c r="O11" s="44">
        <f t="shared" si="5"/>
        <v>0.82</v>
      </c>
      <c r="P11" s="44">
        <f t="shared" si="5"/>
        <v>0.82</v>
      </c>
      <c r="Q11" s="44">
        <f t="shared" si="5"/>
        <v>0.82000000000000006</v>
      </c>
      <c r="R11" s="44">
        <f t="shared" si="5"/>
        <v>0.82</v>
      </c>
      <c r="S11" s="44">
        <f t="shared" si="5"/>
        <v>0.82</v>
      </c>
      <c r="T11" s="44">
        <f t="shared" si="5"/>
        <v>0.82</v>
      </c>
    </row>
    <row r="12" spans="1:20" ht="14.25" customHeight="1" x14ac:dyDescent="0.45">
      <c r="A12" s="33"/>
      <c r="B12" s="5"/>
      <c r="C12" s="33"/>
      <c r="D12" s="33"/>
      <c r="E12" s="33"/>
      <c r="F12" s="33"/>
      <c r="G12" s="46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</row>
    <row r="13" spans="1:20" s="47" customFormat="1" ht="13.5" customHeight="1" x14ac:dyDescent="0.45">
      <c r="A13" s="32"/>
      <c r="B13" s="157" t="s">
        <v>79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</row>
    <row r="14" spans="1:20" ht="14.25" customHeight="1" x14ac:dyDescent="0.45">
      <c r="A14" s="33"/>
      <c r="B14" s="34" t="s">
        <v>80</v>
      </c>
      <c r="C14" s="35">
        <v>175057</v>
      </c>
      <c r="D14" s="35">
        <v>206527</v>
      </c>
      <c r="E14" s="35">
        <v>531615</v>
      </c>
      <c r="F14" s="35">
        <v>373682</v>
      </c>
      <c r="G14" s="36">
        <f t="shared" ref="G14:T14" si="6">G5*G33</f>
        <v>560170.88959999999</v>
      </c>
      <c r="H14" s="37">
        <f t="shared" si="6"/>
        <v>672205.06751999992</v>
      </c>
      <c r="I14" s="37">
        <f t="shared" si="6"/>
        <v>784239.24544000009</v>
      </c>
      <c r="J14" s="37">
        <f t="shared" si="6"/>
        <v>888431.03090559994</v>
      </c>
      <c r="K14" s="37">
        <f t="shared" si="6"/>
        <v>975907.31702553574</v>
      </c>
      <c r="L14" s="37">
        <f t="shared" si="6"/>
        <v>1084883.6340933873</v>
      </c>
      <c r="M14" s="37">
        <f t="shared" si="6"/>
        <v>1199268.1042097553</v>
      </c>
      <c r="N14" s="37">
        <f t="shared" si="6"/>
        <v>1289879.4720833814</v>
      </c>
      <c r="O14" s="37">
        <f t="shared" si="6"/>
        <v>1361409.1518989145</v>
      </c>
      <c r="P14" s="37">
        <f t="shared" si="6"/>
        <v>1422830.8671241214</v>
      </c>
      <c r="Q14" s="37">
        <f t="shared" si="6"/>
        <v>1472291.1782193885</v>
      </c>
      <c r="R14" s="37">
        <f t="shared" si="6"/>
        <v>1545905.7371303581</v>
      </c>
      <c r="S14" s="37">
        <f t="shared" si="6"/>
        <v>1568528.7479176319</v>
      </c>
      <c r="T14" s="37">
        <f t="shared" si="6"/>
        <v>1623427.2540947488</v>
      </c>
    </row>
    <row r="15" spans="1:20" ht="14.25" customHeight="1" x14ac:dyDescent="0.45">
      <c r="A15" s="33"/>
      <c r="B15" s="34" t="s">
        <v>81</v>
      </c>
      <c r="C15" s="35">
        <v>417542</v>
      </c>
      <c r="D15" s="35">
        <v>482532</v>
      </c>
      <c r="E15" s="35">
        <v>867518</v>
      </c>
      <c r="F15" s="35">
        <v>769019</v>
      </c>
      <c r="G15" s="36">
        <f t="shared" ref="G15:T15" si="7">G5*G34</f>
        <v>962793.7165000001</v>
      </c>
      <c r="H15" s="37">
        <f t="shared" si="7"/>
        <v>1075528.108032</v>
      </c>
      <c r="I15" s="37">
        <f t="shared" si="7"/>
        <v>1120341.7792</v>
      </c>
      <c r="J15" s="37">
        <f t="shared" si="7"/>
        <v>1195964.8492959999</v>
      </c>
      <c r="K15" s="37">
        <f t="shared" si="7"/>
        <v>1301209.7560340478</v>
      </c>
      <c r="L15" s="37">
        <f t="shared" si="7"/>
        <v>1438650.0365151439</v>
      </c>
      <c r="M15" s="37">
        <f t="shared" si="7"/>
        <v>1545723.3343147954</v>
      </c>
      <c r="N15" s="37">
        <f t="shared" si="7"/>
        <v>1641664.7826515764</v>
      </c>
      <c r="O15" s="37">
        <f t="shared" si="7"/>
        <v>1709676.6093614276</v>
      </c>
      <c r="P15" s="37">
        <f t="shared" si="7"/>
        <v>1795477.0466090105</v>
      </c>
      <c r="Q15" s="37">
        <f t="shared" si="7"/>
        <v>1867296.128473371</v>
      </c>
      <c r="R15" s="37">
        <f t="shared" si="7"/>
        <v>1922955.9169182505</v>
      </c>
      <c r="S15" s="37">
        <f t="shared" si="7"/>
        <v>1999874.1535949807</v>
      </c>
      <c r="T15" s="37">
        <f t="shared" si="7"/>
        <v>2029284.0676184359</v>
      </c>
    </row>
    <row r="16" spans="1:20" ht="14.25" customHeight="1" x14ac:dyDescent="0.45">
      <c r="A16" s="33"/>
      <c r="B16" s="34" t="s">
        <v>82</v>
      </c>
      <c r="C16" s="35">
        <v>86754</v>
      </c>
      <c r="D16" s="35">
        <v>100377</v>
      </c>
      <c r="E16" s="35">
        <v>355695</v>
      </c>
      <c r="F16" s="35">
        <v>257029</v>
      </c>
      <c r="G16" s="36">
        <f t="shared" ref="G16:T16" si="8">G5*G35</f>
        <v>210064.08359999998</v>
      </c>
      <c r="H16" s="37">
        <f t="shared" si="8"/>
        <v>224068.35584</v>
      </c>
      <c r="I16" s="37">
        <f t="shared" si="8"/>
        <v>280085.4448</v>
      </c>
      <c r="J16" s="37">
        <f t="shared" si="8"/>
        <v>273363.39412479999</v>
      </c>
      <c r="K16" s="37">
        <f t="shared" si="8"/>
        <v>304971.03657047992</v>
      </c>
      <c r="L16" s="37">
        <f t="shared" si="8"/>
        <v>330181.97559363965</v>
      </c>
      <c r="M16" s="37">
        <f t="shared" si="8"/>
        <v>346455.23010504042</v>
      </c>
      <c r="N16" s="37">
        <f t="shared" si="8"/>
        <v>351785.31056819489</v>
      </c>
      <c r="O16" s="37">
        <f t="shared" si="8"/>
        <v>379928.13541365054</v>
      </c>
      <c r="P16" s="37">
        <f t="shared" si="8"/>
        <v>406523.10489260609</v>
      </c>
      <c r="Q16" s="37">
        <f t="shared" si="8"/>
        <v>430914.49118616252</v>
      </c>
      <c r="R16" s="37">
        <f t="shared" si="8"/>
        <v>452460.21574547066</v>
      </c>
      <c r="S16" s="37">
        <f t="shared" si="8"/>
        <v>470558.62437528954</v>
      </c>
      <c r="T16" s="37">
        <f t="shared" si="8"/>
        <v>487028.17622842459</v>
      </c>
    </row>
    <row r="17" spans="1:20" ht="14.25" customHeight="1" x14ac:dyDescent="0.45">
      <c r="A17" s="38"/>
      <c r="B17" s="39" t="s">
        <v>83</v>
      </c>
      <c r="C17" s="40">
        <f t="shared" ref="C17:T17" si="9">SUM(C14:C16)</f>
        <v>679353</v>
      </c>
      <c r="D17" s="40">
        <f t="shared" si="9"/>
        <v>789436</v>
      </c>
      <c r="E17" s="40">
        <f t="shared" si="9"/>
        <v>1754828</v>
      </c>
      <c r="F17" s="40">
        <f t="shared" si="9"/>
        <v>1399730</v>
      </c>
      <c r="G17" s="41">
        <f t="shared" si="9"/>
        <v>1733028.6897</v>
      </c>
      <c r="H17" s="40">
        <f t="shared" si="9"/>
        <v>1971801.5313919999</v>
      </c>
      <c r="I17" s="40">
        <f t="shared" si="9"/>
        <v>2184666.4694400001</v>
      </c>
      <c r="J17" s="40">
        <f t="shared" si="9"/>
        <v>2357759.2743263999</v>
      </c>
      <c r="K17" s="40">
        <f t="shared" si="9"/>
        <v>2582088.1096300636</v>
      </c>
      <c r="L17" s="40">
        <f t="shared" si="9"/>
        <v>2853715.6462021708</v>
      </c>
      <c r="M17" s="40">
        <f t="shared" si="9"/>
        <v>3091446.6686295914</v>
      </c>
      <c r="N17" s="40">
        <f t="shared" si="9"/>
        <v>3283329.5653031524</v>
      </c>
      <c r="O17" s="40">
        <f t="shared" si="9"/>
        <v>3451013.8966739923</v>
      </c>
      <c r="P17" s="40">
        <f t="shared" si="9"/>
        <v>3624831.0186257381</v>
      </c>
      <c r="Q17" s="40">
        <f t="shared" si="9"/>
        <v>3770501.797878922</v>
      </c>
      <c r="R17" s="40">
        <f t="shared" si="9"/>
        <v>3921321.8697940791</v>
      </c>
      <c r="S17" s="40">
        <f t="shared" si="9"/>
        <v>4038961.5258879019</v>
      </c>
      <c r="T17" s="40">
        <f t="shared" si="9"/>
        <v>4139739.4979416095</v>
      </c>
    </row>
    <row r="18" spans="1:20" ht="14.25" customHeight="1" x14ac:dyDescent="0.45">
      <c r="A18" s="33"/>
      <c r="B18" s="5"/>
      <c r="C18" s="33"/>
      <c r="D18" s="33"/>
      <c r="E18" s="33"/>
      <c r="F18" s="33"/>
      <c r="G18" s="46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</row>
    <row r="19" spans="1:20" ht="14.25" customHeight="1" x14ac:dyDescent="0.45">
      <c r="A19" s="38"/>
      <c r="B19" s="48" t="s">
        <v>84</v>
      </c>
      <c r="C19" s="40">
        <f t="shared" ref="C19:T19" si="10">C22+C21</f>
        <v>-239182</v>
      </c>
      <c r="D19" s="40">
        <f t="shared" si="10"/>
        <v>-282201</v>
      </c>
      <c r="E19" s="40">
        <f t="shared" si="10"/>
        <v>-1105164</v>
      </c>
      <c r="F19" s="40">
        <f t="shared" si="10"/>
        <v>-308301</v>
      </c>
      <c r="G19" s="41">
        <f t="shared" si="10"/>
        <v>-287087.5809199998</v>
      </c>
      <c r="H19" s="40">
        <f t="shared" si="10"/>
        <v>-118756.22859519979</v>
      </c>
      <c r="I19" s="40">
        <f t="shared" si="10"/>
        <v>140042.7224</v>
      </c>
      <c r="J19" s="40">
        <f t="shared" si="10"/>
        <v>488637.06699807948</v>
      </c>
      <c r="K19" s="40">
        <f t="shared" si="10"/>
        <v>825454.93898409873</v>
      </c>
      <c r="L19" s="40">
        <f t="shared" si="10"/>
        <v>1099034.2901902574</v>
      </c>
      <c r="M19" s="40">
        <f t="shared" si="10"/>
        <v>1375160.7594938523</v>
      </c>
      <c r="N19" s="40">
        <f t="shared" si="10"/>
        <v>1629938.6056326367</v>
      </c>
      <c r="O19" s="40">
        <f t="shared" si="10"/>
        <v>1855315.7279366595</v>
      </c>
      <c r="P19" s="40">
        <f t="shared" si="10"/>
        <v>2052941.6797076603</v>
      </c>
      <c r="Q19" s="40">
        <f t="shared" si="10"/>
        <v>2247937.2623544815</v>
      </c>
      <c r="R19" s="40">
        <f t="shared" si="10"/>
        <v>2398039.1434509945</v>
      </c>
      <c r="S19" s="40">
        <f t="shared" si="10"/>
        <v>2533173.9278869755</v>
      </c>
      <c r="T19" s="40">
        <f t="shared" si="10"/>
        <v>2662420.6967153871</v>
      </c>
    </row>
    <row r="20" spans="1:20" ht="14.25" customHeight="1" x14ac:dyDescent="0.45">
      <c r="A20" s="42"/>
      <c r="B20" s="43" t="s">
        <v>85</v>
      </c>
      <c r="C20" s="44">
        <f t="shared" ref="C20:T20" si="11">C19/C5</f>
        <v>-0.39875695834910196</v>
      </c>
      <c r="D20" s="44">
        <f t="shared" si="11"/>
        <v>-0.44944194224484463</v>
      </c>
      <c r="E20" s="44">
        <f t="shared" si="11"/>
        <v>-1.2465980255915103</v>
      </c>
      <c r="F20" s="44">
        <f t="shared" si="11"/>
        <v>-0.23423728015158893</v>
      </c>
      <c r="G20" s="45">
        <f t="shared" si="11"/>
        <v>-0.1639999999999999</v>
      </c>
      <c r="H20" s="44">
        <f t="shared" si="11"/>
        <v>-5.2999999999999908E-2</v>
      </c>
      <c r="I20" s="44">
        <f t="shared" si="11"/>
        <v>0.05</v>
      </c>
      <c r="J20" s="44">
        <f t="shared" si="11"/>
        <v>0.14299999999999988</v>
      </c>
      <c r="K20" s="44">
        <f t="shared" si="11"/>
        <v>0.20299999999999993</v>
      </c>
      <c r="L20" s="44">
        <f t="shared" si="11"/>
        <v>0.23299999999999996</v>
      </c>
      <c r="M20" s="44">
        <f t="shared" si="11"/>
        <v>0.2579999999999999</v>
      </c>
      <c r="N20" s="44">
        <f t="shared" si="11"/>
        <v>0.27800000000000002</v>
      </c>
      <c r="O20" s="44">
        <f t="shared" si="11"/>
        <v>0.29299999999999987</v>
      </c>
      <c r="P20" s="44">
        <f t="shared" si="11"/>
        <v>0.30299999999999994</v>
      </c>
      <c r="Q20" s="44">
        <f t="shared" si="11"/>
        <v>0.31300000000000006</v>
      </c>
      <c r="R20" s="44">
        <f t="shared" si="11"/>
        <v>0.318</v>
      </c>
      <c r="S20" s="44">
        <f t="shared" si="11"/>
        <v>0.32300000000000001</v>
      </c>
      <c r="T20" s="44">
        <f t="shared" si="11"/>
        <v>0.3279999999999999</v>
      </c>
    </row>
    <row r="21" spans="1:20" ht="14.25" customHeight="1" x14ac:dyDescent="0.45">
      <c r="A21" s="33"/>
      <c r="B21" s="49" t="s">
        <v>86</v>
      </c>
      <c r="C21" s="35">
        <v>22366</v>
      </c>
      <c r="D21" s="35">
        <v>24305</v>
      </c>
      <c r="E21" s="35">
        <v>28868</v>
      </c>
      <c r="F21" s="35">
        <v>37115</v>
      </c>
      <c r="G21" s="36">
        <f t="shared" ref="G21:T21" si="12">G5*G36</f>
        <v>45513.88478</v>
      </c>
      <c r="H21" s="37">
        <f t="shared" si="12"/>
        <v>49295.038284799994</v>
      </c>
      <c r="I21" s="37">
        <f t="shared" si="12"/>
        <v>56017.088960000001</v>
      </c>
      <c r="J21" s="37">
        <f t="shared" si="12"/>
        <v>61506.763678079988</v>
      </c>
      <c r="K21" s="37">
        <f t="shared" si="12"/>
        <v>73193.04877691518</v>
      </c>
      <c r="L21" s="37">
        <f t="shared" si="12"/>
        <v>84903.936581221613</v>
      </c>
      <c r="M21" s="37">
        <f t="shared" si="12"/>
        <v>95941.448336780406</v>
      </c>
      <c r="N21" s="37">
        <f t="shared" si="12"/>
        <v>105535.59317045847</v>
      </c>
      <c r="O21" s="37">
        <f t="shared" si="12"/>
        <v>113978.44062409515</v>
      </c>
      <c r="P21" s="37">
        <f t="shared" si="12"/>
        <v>121956.93146778183</v>
      </c>
      <c r="Q21" s="37">
        <f t="shared" si="12"/>
        <v>129274.34735584875</v>
      </c>
      <c r="R21" s="37">
        <f t="shared" si="12"/>
        <v>135738.0647236412</v>
      </c>
      <c r="S21" s="37">
        <f t="shared" si="12"/>
        <v>141167.58731258687</v>
      </c>
      <c r="T21" s="37">
        <f t="shared" si="12"/>
        <v>146108.45286852738</v>
      </c>
    </row>
    <row r="22" spans="1:20" ht="14.25" customHeight="1" x14ac:dyDescent="0.45">
      <c r="A22" s="38"/>
      <c r="B22" s="50" t="s">
        <v>87</v>
      </c>
      <c r="C22" s="40">
        <f t="shared" ref="C22:T22" si="13">C10-C17</f>
        <v>-261548</v>
      </c>
      <c r="D22" s="40">
        <f t="shared" si="13"/>
        <v>-306506</v>
      </c>
      <c r="E22" s="40">
        <f t="shared" si="13"/>
        <v>-1134032</v>
      </c>
      <c r="F22" s="40">
        <f t="shared" si="13"/>
        <v>-345416</v>
      </c>
      <c r="G22" s="41">
        <f t="shared" si="13"/>
        <v>-332601.46569999983</v>
      </c>
      <c r="H22" s="40">
        <f t="shared" si="13"/>
        <v>-168051.26687999978</v>
      </c>
      <c r="I22" s="40">
        <f t="shared" si="13"/>
        <v>84025.633440000005</v>
      </c>
      <c r="J22" s="40">
        <f t="shared" si="13"/>
        <v>427130.30331999948</v>
      </c>
      <c r="K22" s="40">
        <f t="shared" si="13"/>
        <v>752261.89020718355</v>
      </c>
      <c r="L22" s="40">
        <f t="shared" si="13"/>
        <v>1014130.3536090357</v>
      </c>
      <c r="M22" s="40">
        <f t="shared" si="13"/>
        <v>1279219.311157072</v>
      </c>
      <c r="N22" s="40">
        <f t="shared" si="13"/>
        <v>1524403.0124621782</v>
      </c>
      <c r="O22" s="40">
        <f t="shared" si="13"/>
        <v>1741337.2873125644</v>
      </c>
      <c r="P22" s="40">
        <f t="shared" si="13"/>
        <v>1930984.7482398786</v>
      </c>
      <c r="Q22" s="40">
        <f t="shared" si="13"/>
        <v>2118662.9149986329</v>
      </c>
      <c r="R22" s="40">
        <f t="shared" si="13"/>
        <v>2262301.0787273534</v>
      </c>
      <c r="S22" s="40">
        <f t="shared" si="13"/>
        <v>2392006.3405743884</v>
      </c>
      <c r="T22" s="40">
        <f t="shared" si="13"/>
        <v>2516312.2438468598</v>
      </c>
    </row>
    <row r="23" spans="1:20" ht="14.25" customHeight="1" x14ac:dyDescent="0.45">
      <c r="A23" s="42"/>
      <c r="B23" s="43" t="s">
        <v>88</v>
      </c>
      <c r="C23" s="44">
        <f t="shared" ref="C23:T23" si="14">C22/C5</f>
        <v>-0.43604487353685029</v>
      </c>
      <c r="D23" s="44">
        <f t="shared" si="14"/>
        <v>-0.4881508284864276</v>
      </c>
      <c r="E23" s="44">
        <f t="shared" si="14"/>
        <v>-1.2791604252016819</v>
      </c>
      <c r="F23" s="44">
        <f t="shared" si="14"/>
        <v>-0.26243607500735078</v>
      </c>
      <c r="G23" s="45">
        <f t="shared" si="14"/>
        <v>-0.18999999999999989</v>
      </c>
      <c r="H23" s="44">
        <f t="shared" si="14"/>
        <v>-7.49999999999999E-2</v>
      </c>
      <c r="I23" s="44">
        <f t="shared" si="14"/>
        <v>3.0000000000000002E-2</v>
      </c>
      <c r="J23" s="44">
        <f t="shared" si="14"/>
        <v>0.12499999999999986</v>
      </c>
      <c r="K23" s="44">
        <f t="shared" si="14"/>
        <v>0.18499999999999991</v>
      </c>
      <c r="L23" s="44">
        <f t="shared" si="14"/>
        <v>0.21499999999999997</v>
      </c>
      <c r="M23" s="44">
        <f t="shared" si="14"/>
        <v>0.23999999999999994</v>
      </c>
      <c r="N23" s="44">
        <f t="shared" si="14"/>
        <v>0.26000000000000006</v>
      </c>
      <c r="O23" s="44">
        <f t="shared" si="14"/>
        <v>0.27499999999999991</v>
      </c>
      <c r="P23" s="44">
        <f t="shared" si="14"/>
        <v>0.28499999999999992</v>
      </c>
      <c r="Q23" s="44">
        <f t="shared" si="14"/>
        <v>0.29500000000000004</v>
      </c>
      <c r="R23" s="44">
        <f t="shared" si="14"/>
        <v>0.3</v>
      </c>
      <c r="S23" s="44">
        <f t="shared" si="14"/>
        <v>0.30499999999999999</v>
      </c>
      <c r="T23" s="44">
        <f t="shared" si="14"/>
        <v>0.30999999999999989</v>
      </c>
    </row>
    <row r="24" spans="1:20" ht="14.25" customHeight="1" x14ac:dyDescent="0.45">
      <c r="A24" s="33"/>
      <c r="B24" s="34" t="s">
        <v>89</v>
      </c>
      <c r="C24" s="35">
        <v>-6569</v>
      </c>
      <c r="D24" s="35">
        <v>-19079</v>
      </c>
      <c r="E24" s="35">
        <v>-15900</v>
      </c>
      <c r="F24" s="35">
        <v>34930</v>
      </c>
      <c r="G24" s="36">
        <f t="shared" ref="G24:T24" si="15">G5*G37</f>
        <v>43763.350750000005</v>
      </c>
      <c r="H24" s="37">
        <f t="shared" si="15"/>
        <v>44813.671168000001</v>
      </c>
      <c r="I24" s="37">
        <f t="shared" si="15"/>
        <v>44813.671168000001</v>
      </c>
      <c r="J24" s="37">
        <f t="shared" si="15"/>
        <v>44421.551545279995</v>
      </c>
      <c r="K24" s="37">
        <f t="shared" si="15"/>
        <v>48795.365851276794</v>
      </c>
      <c r="L24" s="37">
        <f t="shared" si="15"/>
        <v>51885.739021857647</v>
      </c>
      <c r="M24" s="37">
        <f t="shared" si="15"/>
        <v>53300.804631544677</v>
      </c>
      <c r="N24" s="37">
        <f t="shared" si="15"/>
        <v>58630.885094699152</v>
      </c>
      <c r="O24" s="37">
        <f t="shared" si="15"/>
        <v>63321.355902275092</v>
      </c>
      <c r="P24" s="37">
        <f t="shared" si="15"/>
        <v>67753.850815434358</v>
      </c>
      <c r="Q24" s="37">
        <f t="shared" si="15"/>
        <v>71819.081864360429</v>
      </c>
      <c r="R24" s="37">
        <f t="shared" si="15"/>
        <v>75410.035957578453</v>
      </c>
      <c r="S24" s="37">
        <f t="shared" si="15"/>
        <v>78426.4373958816</v>
      </c>
      <c r="T24" s="37">
        <f t="shared" si="15"/>
        <v>81171.362704737447</v>
      </c>
    </row>
    <row r="25" spans="1:20" ht="14.25" customHeight="1" x14ac:dyDescent="0.45">
      <c r="A25" s="33"/>
      <c r="B25" s="34" t="s">
        <v>90</v>
      </c>
      <c r="C25" s="35">
        <v>-1033</v>
      </c>
      <c r="D25" s="35">
        <v>-1884</v>
      </c>
      <c r="E25" s="35">
        <v>1480</v>
      </c>
      <c r="F25" s="35">
        <v>-15987</v>
      </c>
      <c r="G25" s="36">
        <f t="shared" ref="G25:T25" si="16">G5*G38</f>
        <v>-3501.0680600000001</v>
      </c>
      <c r="H25" s="37">
        <f t="shared" si="16"/>
        <v>-4481.3671168000001</v>
      </c>
      <c r="I25" s="37">
        <f t="shared" si="16"/>
        <v>-5601.7088960000001</v>
      </c>
      <c r="J25" s="37">
        <f t="shared" si="16"/>
        <v>-6834.084853119999</v>
      </c>
      <c r="K25" s="37">
        <f t="shared" si="16"/>
        <v>-8132.5609752127984</v>
      </c>
      <c r="L25" s="37">
        <f t="shared" si="16"/>
        <v>-9433.7707312468465</v>
      </c>
      <c r="M25" s="37">
        <f t="shared" si="16"/>
        <v>-10660.160926308936</v>
      </c>
      <c r="N25" s="37">
        <f t="shared" si="16"/>
        <v>-11726.17701893983</v>
      </c>
      <c r="O25" s="37">
        <f t="shared" si="16"/>
        <v>-12664.271180455018</v>
      </c>
      <c r="P25" s="37">
        <f t="shared" si="16"/>
        <v>-13550.770163086871</v>
      </c>
      <c r="Q25" s="37">
        <f t="shared" si="16"/>
        <v>-14363.816372872085</v>
      </c>
      <c r="R25" s="37">
        <f t="shared" si="16"/>
        <v>-15082.00719151569</v>
      </c>
      <c r="S25" s="37">
        <f t="shared" si="16"/>
        <v>-15685.287479176319</v>
      </c>
      <c r="T25" s="37">
        <f t="shared" si="16"/>
        <v>-16234.272540947488</v>
      </c>
    </row>
    <row r="26" spans="1:20" ht="14.25" customHeight="1" x14ac:dyDescent="0.45">
      <c r="A26" s="38"/>
      <c r="B26" s="39" t="s">
        <v>91</v>
      </c>
      <c r="C26" s="40">
        <f t="shared" ref="C26:T26" si="17">C22+C24+C25</f>
        <v>-269150</v>
      </c>
      <c r="D26" s="40">
        <f t="shared" si="17"/>
        <v>-327469</v>
      </c>
      <c r="E26" s="40">
        <f t="shared" si="17"/>
        <v>-1148452</v>
      </c>
      <c r="F26" s="40">
        <f t="shared" si="17"/>
        <v>-326473</v>
      </c>
      <c r="G26" s="41">
        <f t="shared" si="17"/>
        <v>-292339.18300999986</v>
      </c>
      <c r="H26" s="40">
        <f t="shared" si="17"/>
        <v>-127718.96282879978</v>
      </c>
      <c r="I26" s="40">
        <f t="shared" si="17"/>
        <v>123237.59571200001</v>
      </c>
      <c r="J26" s="40">
        <f t="shared" si="17"/>
        <v>464717.77001215948</v>
      </c>
      <c r="K26" s="40">
        <f t="shared" si="17"/>
        <v>792924.6950832475</v>
      </c>
      <c r="L26" s="40">
        <f t="shared" si="17"/>
        <v>1056582.3218996467</v>
      </c>
      <c r="M26" s="40">
        <f t="shared" si="17"/>
        <v>1321859.9548623078</v>
      </c>
      <c r="N26" s="40">
        <f t="shared" si="17"/>
        <v>1571307.7205379377</v>
      </c>
      <c r="O26" s="40">
        <f t="shared" si="17"/>
        <v>1791994.3720343844</v>
      </c>
      <c r="P26" s="40">
        <f t="shared" si="17"/>
        <v>1985187.8288922261</v>
      </c>
      <c r="Q26" s="40">
        <f t="shared" si="17"/>
        <v>2176118.1804901212</v>
      </c>
      <c r="R26" s="40">
        <f t="shared" si="17"/>
        <v>2322629.1074934164</v>
      </c>
      <c r="S26" s="40">
        <f t="shared" si="17"/>
        <v>2454747.4904910936</v>
      </c>
      <c r="T26" s="40">
        <f t="shared" si="17"/>
        <v>2581249.3340106499</v>
      </c>
    </row>
    <row r="27" spans="1:20" ht="14.25" customHeight="1" x14ac:dyDescent="0.45">
      <c r="A27" s="33"/>
      <c r="B27" s="34" t="s">
        <v>92</v>
      </c>
      <c r="C27" s="35">
        <v>8596</v>
      </c>
      <c r="D27" s="35">
        <v>26689</v>
      </c>
      <c r="E27" s="35">
        <v>6368</v>
      </c>
      <c r="F27" s="35">
        <v>22355</v>
      </c>
      <c r="G27" s="36">
        <f t="shared" ref="G27:T27" si="18">IF(G26&gt;0,G26*G39,0)</f>
        <v>0</v>
      </c>
      <c r="H27" s="37">
        <f t="shared" si="18"/>
        <v>0</v>
      </c>
      <c r="I27" s="37">
        <f t="shared" si="18"/>
        <v>22182.767228160003</v>
      </c>
      <c r="J27" s="37">
        <f t="shared" si="18"/>
        <v>106885.08710279668</v>
      </c>
      <c r="K27" s="37">
        <f t="shared" si="18"/>
        <v>182372.67986914693</v>
      </c>
      <c r="L27" s="37">
        <f t="shared" si="18"/>
        <v>243013.93403691874</v>
      </c>
      <c r="M27" s="37">
        <f t="shared" si="18"/>
        <v>304027.78961833077</v>
      </c>
      <c r="N27" s="37">
        <f t="shared" si="18"/>
        <v>361400.77572372567</v>
      </c>
      <c r="O27" s="37">
        <f t="shared" si="18"/>
        <v>412158.70556790842</v>
      </c>
      <c r="P27" s="37">
        <f t="shared" si="18"/>
        <v>456593.20064521203</v>
      </c>
      <c r="Q27" s="37">
        <f t="shared" si="18"/>
        <v>500507.18151272793</v>
      </c>
      <c r="R27" s="37">
        <f t="shared" si="18"/>
        <v>534204.69472348585</v>
      </c>
      <c r="S27" s="37">
        <f t="shared" si="18"/>
        <v>564591.9228129515</v>
      </c>
      <c r="T27" s="37">
        <f t="shared" si="18"/>
        <v>593687.34682244947</v>
      </c>
    </row>
    <row r="28" spans="1:20" ht="14.25" customHeight="1" x14ac:dyDescent="0.45">
      <c r="A28" s="51"/>
      <c r="B28" s="52" t="s">
        <v>93</v>
      </c>
      <c r="C28" s="53">
        <f t="shared" ref="C28:T28" si="19">C26-C27</f>
        <v>-277746</v>
      </c>
      <c r="D28" s="53">
        <f t="shared" si="19"/>
        <v>-354158</v>
      </c>
      <c r="E28" s="53">
        <f t="shared" si="19"/>
        <v>-1154820</v>
      </c>
      <c r="F28" s="53">
        <f t="shared" si="19"/>
        <v>-348828</v>
      </c>
      <c r="G28" s="54">
        <f t="shared" si="19"/>
        <v>-292339.18300999986</v>
      </c>
      <c r="H28" s="53">
        <f t="shared" si="19"/>
        <v>-127718.96282879978</v>
      </c>
      <c r="I28" s="53">
        <f t="shared" si="19"/>
        <v>101054.82848384001</v>
      </c>
      <c r="J28" s="53">
        <f t="shared" si="19"/>
        <v>357832.68290936283</v>
      </c>
      <c r="K28" s="53">
        <f t="shared" si="19"/>
        <v>610552.0152141006</v>
      </c>
      <c r="L28" s="53">
        <f t="shared" si="19"/>
        <v>813568.38786272798</v>
      </c>
      <c r="M28" s="53">
        <f t="shared" si="19"/>
        <v>1017832.165243977</v>
      </c>
      <c r="N28" s="53">
        <f t="shared" si="19"/>
        <v>1209906.9448142122</v>
      </c>
      <c r="O28" s="53">
        <f t="shared" si="19"/>
        <v>1379835.6664664759</v>
      </c>
      <c r="P28" s="53">
        <f t="shared" si="19"/>
        <v>1528594.628247014</v>
      </c>
      <c r="Q28" s="53">
        <f t="shared" si="19"/>
        <v>1675610.9989773934</v>
      </c>
      <c r="R28" s="53">
        <f t="shared" si="19"/>
        <v>1788424.4127699304</v>
      </c>
      <c r="S28" s="53">
        <f t="shared" si="19"/>
        <v>1890155.5676781421</v>
      </c>
      <c r="T28" s="53">
        <f t="shared" si="19"/>
        <v>1987561.9871882005</v>
      </c>
    </row>
    <row r="29" spans="1:20" ht="14.25" customHeight="1" x14ac:dyDescent="0.45">
      <c r="A29" s="42"/>
      <c r="B29" s="43" t="s">
        <v>94</v>
      </c>
      <c r="C29" s="44">
        <f t="shared" ref="C29:T29" si="20">C28/C5</f>
        <v>-0.46304968665547441</v>
      </c>
      <c r="D29" s="44">
        <f t="shared" si="20"/>
        <v>-0.56404286087416311</v>
      </c>
      <c r="E29" s="44">
        <f t="shared" si="20"/>
        <v>-1.3026087819668284</v>
      </c>
      <c r="F29" s="44">
        <f t="shared" si="20"/>
        <v>-0.26502840393225602</v>
      </c>
      <c r="G29" s="45">
        <f t="shared" si="20"/>
        <v>-0.16699999999999993</v>
      </c>
      <c r="H29" s="44">
        <f t="shared" si="20"/>
        <v>-5.6999999999999898E-2</v>
      </c>
      <c r="I29" s="44">
        <f t="shared" si="20"/>
        <v>3.6080000000000008E-2</v>
      </c>
      <c r="J29" s="44">
        <f t="shared" si="20"/>
        <v>0.10471999999999991</v>
      </c>
      <c r="K29" s="44">
        <f t="shared" si="20"/>
        <v>0.15014999999999995</v>
      </c>
      <c r="L29" s="44">
        <f t="shared" si="20"/>
        <v>0.17247999999999999</v>
      </c>
      <c r="M29" s="44">
        <f t="shared" si="20"/>
        <v>0.19095999999999996</v>
      </c>
      <c r="N29" s="44">
        <f t="shared" si="20"/>
        <v>0.20636000000000007</v>
      </c>
      <c r="O29" s="44">
        <f t="shared" si="20"/>
        <v>0.21790999999999991</v>
      </c>
      <c r="P29" s="44">
        <f t="shared" si="20"/>
        <v>0.22560999999999995</v>
      </c>
      <c r="Q29" s="44">
        <f t="shared" si="20"/>
        <v>0.23331000000000005</v>
      </c>
      <c r="R29" s="44">
        <f t="shared" si="20"/>
        <v>0.23715999999999998</v>
      </c>
      <c r="S29" s="44">
        <f t="shared" si="20"/>
        <v>0.24100999999999997</v>
      </c>
      <c r="T29" s="44">
        <f t="shared" si="20"/>
        <v>0.24485999999999994</v>
      </c>
    </row>
    <row r="30" spans="1:20" ht="14.25" customHeight="1" x14ac:dyDescent="0.45">
      <c r="A30" s="33"/>
      <c r="B30" s="55"/>
      <c r="C30" s="56"/>
      <c r="D30" s="56"/>
      <c r="E30" s="56"/>
      <c r="F30" s="56"/>
      <c r="G30" s="57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</row>
    <row r="31" spans="1:20" ht="13.5" customHeight="1" x14ac:dyDescent="0.45">
      <c r="A31" s="32"/>
      <c r="B31" s="157" t="s">
        <v>95</v>
      </c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</row>
    <row r="32" spans="1:20" ht="14.25" customHeight="1" x14ac:dyDescent="0.45">
      <c r="A32" s="42"/>
      <c r="B32" s="49" t="s">
        <v>78</v>
      </c>
      <c r="C32" s="58">
        <f>C10/C5</f>
        <v>0.69655179312425919</v>
      </c>
      <c r="D32" s="58">
        <f>D10/D5</f>
        <v>0.7691290858937524</v>
      </c>
      <c r="E32" s="58">
        <f>E10/E5</f>
        <v>0.70024274034904077</v>
      </c>
      <c r="F32" s="58">
        <f>F10/F5</f>
        <v>0.80103419640462514</v>
      </c>
      <c r="G32" s="59">
        <v>0.8</v>
      </c>
      <c r="H32" s="22">
        <v>0.80500000000000005</v>
      </c>
      <c r="I32" s="22">
        <v>0.81</v>
      </c>
      <c r="J32" s="22">
        <v>0.81499999999999995</v>
      </c>
      <c r="K32" s="22">
        <v>0.82</v>
      </c>
      <c r="L32" s="22">
        <v>0.82</v>
      </c>
      <c r="M32" s="22">
        <v>0.82</v>
      </c>
      <c r="N32" s="22">
        <v>0.82</v>
      </c>
      <c r="O32" s="22">
        <v>0.82</v>
      </c>
      <c r="P32" s="22">
        <v>0.82</v>
      </c>
      <c r="Q32" s="22">
        <v>0.82</v>
      </c>
      <c r="R32" s="22">
        <v>0.82</v>
      </c>
      <c r="S32" s="22">
        <v>0.82</v>
      </c>
      <c r="T32" s="22">
        <v>0.82</v>
      </c>
    </row>
    <row r="33" spans="1:20" ht="14.25" customHeight="1" x14ac:dyDescent="0.45">
      <c r="A33" s="33"/>
      <c r="B33" s="49" t="s">
        <v>96</v>
      </c>
      <c r="C33" s="58">
        <f>C14/C5</f>
        <v>0.29184970799524523</v>
      </c>
      <c r="D33" s="58">
        <f>D14/D5</f>
        <v>0.32892121575047939</v>
      </c>
      <c r="E33" s="58">
        <f>E14/E5</f>
        <v>0.59964874839827464</v>
      </c>
      <c r="F33" s="58">
        <f>F14/F5</f>
        <v>0.28391168151127</v>
      </c>
      <c r="G33" s="59">
        <v>0.32</v>
      </c>
      <c r="H33" s="22">
        <v>0.3</v>
      </c>
      <c r="I33" s="22">
        <v>0.28000000000000003</v>
      </c>
      <c r="J33" s="22">
        <v>0.26</v>
      </c>
      <c r="K33" s="22">
        <v>0.24</v>
      </c>
      <c r="L33" s="22">
        <v>0.23</v>
      </c>
      <c r="M33" s="22">
        <v>0.22500000000000001</v>
      </c>
      <c r="N33" s="22">
        <v>0.22</v>
      </c>
      <c r="O33" s="22">
        <v>0.215</v>
      </c>
      <c r="P33" s="22">
        <v>0.21</v>
      </c>
      <c r="Q33" s="22">
        <v>0.20499999999999999</v>
      </c>
      <c r="R33" s="22">
        <v>0.20499999999999999</v>
      </c>
      <c r="S33" s="22">
        <v>0.2</v>
      </c>
      <c r="T33" s="22">
        <v>0.2</v>
      </c>
    </row>
    <row r="34" spans="1:20" ht="14.25" customHeight="1" x14ac:dyDescent="0.45">
      <c r="A34" s="33"/>
      <c r="B34" s="49" t="s">
        <v>97</v>
      </c>
      <c r="C34" s="58">
        <f>C15/C5</f>
        <v>0.69611332752046873</v>
      </c>
      <c r="D34" s="58">
        <f>D15/D5</f>
        <v>0.76849521892299955</v>
      </c>
      <c r="E34" s="58">
        <f>E15/E5</f>
        <v>0.97853913624140487</v>
      </c>
      <c r="F34" s="58">
        <f>F15/F5</f>
        <v>0.58427614229241809</v>
      </c>
      <c r="G34" s="59">
        <v>0.55000000000000004</v>
      </c>
      <c r="H34" s="22">
        <v>0.48</v>
      </c>
      <c r="I34" s="22">
        <v>0.4</v>
      </c>
      <c r="J34" s="22">
        <v>0.35</v>
      </c>
      <c r="K34" s="22">
        <v>0.32</v>
      </c>
      <c r="L34" s="22">
        <v>0.30499999999999999</v>
      </c>
      <c r="M34" s="22">
        <v>0.28999999999999998</v>
      </c>
      <c r="N34" s="22">
        <v>0.28000000000000003</v>
      </c>
      <c r="O34" s="22">
        <v>0.27</v>
      </c>
      <c r="P34" s="22">
        <v>0.26500000000000001</v>
      </c>
      <c r="Q34" s="22">
        <v>0.26</v>
      </c>
      <c r="R34" s="22">
        <v>0.255</v>
      </c>
      <c r="S34" s="22">
        <v>0.255</v>
      </c>
      <c r="T34" s="22">
        <v>0.25</v>
      </c>
    </row>
    <row r="35" spans="1:20" ht="14.25" customHeight="1" x14ac:dyDescent="0.45">
      <c r="A35" s="33"/>
      <c r="B35" s="49" t="s">
        <v>98</v>
      </c>
      <c r="C35" s="58">
        <f>C16/C5</f>
        <v>0.14463363114539554</v>
      </c>
      <c r="D35" s="58">
        <f>D16/D5</f>
        <v>0.15986347970670114</v>
      </c>
      <c r="E35" s="58">
        <f>E16/E5</f>
        <v>0.40121528091104336</v>
      </c>
      <c r="F35" s="58">
        <f>F16/F5</f>
        <v>0.19528244760828786</v>
      </c>
      <c r="G35" s="59">
        <v>0.12</v>
      </c>
      <c r="H35" s="22">
        <v>0.1</v>
      </c>
      <c r="I35" s="22">
        <v>0.1</v>
      </c>
      <c r="J35" s="22">
        <v>0.08</v>
      </c>
      <c r="K35" s="22">
        <v>7.4999999999999997E-2</v>
      </c>
      <c r="L35" s="22">
        <v>7.0000000000000007E-2</v>
      </c>
      <c r="M35" s="22">
        <v>6.5000000000000002E-2</v>
      </c>
      <c r="N35" s="22">
        <v>0.06</v>
      </c>
      <c r="O35" s="22">
        <v>0.06</v>
      </c>
      <c r="P35" s="22">
        <v>0.06</v>
      </c>
      <c r="Q35" s="22">
        <v>0.06</v>
      </c>
      <c r="R35" s="22">
        <v>0.06</v>
      </c>
      <c r="S35" s="22">
        <v>0.06</v>
      </c>
      <c r="T35" s="22">
        <v>0.06</v>
      </c>
    </row>
    <row r="36" spans="1:20" ht="14.25" customHeight="1" x14ac:dyDescent="0.45">
      <c r="A36" s="33"/>
      <c r="B36" s="49" t="s">
        <v>99</v>
      </c>
      <c r="C36" s="58">
        <f>C21/C5</f>
        <v>3.7287915187748301E-2</v>
      </c>
      <c r="D36" s="58">
        <f>D21/D5</f>
        <v>3.8708886241582946E-2</v>
      </c>
      <c r="E36" s="58">
        <f>E21/E5</f>
        <v>3.2562399610171634E-2</v>
      </c>
      <c r="F36" s="58">
        <f>F21/F5</f>
        <v>2.8198794855761815E-2</v>
      </c>
      <c r="G36" s="59">
        <v>2.5999999999999999E-2</v>
      </c>
      <c r="H36" s="22">
        <v>2.1999999999999999E-2</v>
      </c>
      <c r="I36" s="22">
        <v>0.02</v>
      </c>
      <c r="J36" s="22">
        <v>1.7999999999999999E-2</v>
      </c>
      <c r="K36" s="22">
        <v>1.7999999999999999E-2</v>
      </c>
      <c r="L36" s="22">
        <v>1.7999999999999999E-2</v>
      </c>
      <c r="M36" s="22">
        <v>1.7999999999999999E-2</v>
      </c>
      <c r="N36" s="22">
        <v>1.7999999999999999E-2</v>
      </c>
      <c r="O36" s="22">
        <v>1.7999999999999999E-2</v>
      </c>
      <c r="P36" s="22">
        <v>1.7999999999999999E-2</v>
      </c>
      <c r="Q36" s="22">
        <v>1.7999999999999999E-2</v>
      </c>
      <c r="R36" s="22">
        <v>1.7999999999999999E-2</v>
      </c>
      <c r="S36" s="22">
        <v>1.7999999999999999E-2</v>
      </c>
      <c r="T36" s="22">
        <v>1.7999999999999999E-2</v>
      </c>
    </row>
    <row r="37" spans="1:20" ht="14.25" customHeight="1" x14ac:dyDescent="0.45">
      <c r="A37" s="33"/>
      <c r="B37" s="49" t="s">
        <v>89</v>
      </c>
      <c r="C37" s="58">
        <f>C24/C5</f>
        <v>-1.0951637077184951E-2</v>
      </c>
      <c r="D37" s="58">
        <f>D24/D5</f>
        <v>-3.0385798831646205E-2</v>
      </c>
      <c r="E37" s="58">
        <f>E24/E5</f>
        <v>-1.7934812034146076E-2</v>
      </c>
      <c r="F37" s="58">
        <f>F24/F5</f>
        <v>2.6538701449865559E-2</v>
      </c>
      <c r="G37" s="59">
        <v>2.5000000000000001E-2</v>
      </c>
      <c r="H37" s="22">
        <v>0.02</v>
      </c>
      <c r="I37" s="22">
        <v>1.6E-2</v>
      </c>
      <c r="J37" s="22">
        <v>1.2999999999999999E-2</v>
      </c>
      <c r="K37" s="22">
        <v>1.2E-2</v>
      </c>
      <c r="L37" s="22">
        <v>1.0999999999999999E-2</v>
      </c>
      <c r="M37" s="22">
        <v>0.01</v>
      </c>
      <c r="N37" s="22">
        <v>0.01</v>
      </c>
      <c r="O37" s="22">
        <v>0.01</v>
      </c>
      <c r="P37" s="22">
        <v>0.01</v>
      </c>
      <c r="Q37" s="22">
        <v>0.01</v>
      </c>
      <c r="R37" s="22">
        <v>0.01</v>
      </c>
      <c r="S37" s="22">
        <v>0.01</v>
      </c>
      <c r="T37" s="22">
        <v>0.01</v>
      </c>
    </row>
    <row r="38" spans="1:20" ht="14.25" customHeight="1" x14ac:dyDescent="0.45">
      <c r="A38" s="33"/>
      <c r="B38" s="49" t="s">
        <v>90</v>
      </c>
      <c r="C38" s="58">
        <f>C25/C5</f>
        <v>-1.7221861928348385E-3</v>
      </c>
      <c r="D38" s="58">
        <f>D25/D5</f>
        <v>-3.0005160123078491E-3</v>
      </c>
      <c r="E38" s="58">
        <f>E25/E5</f>
        <v>1.6694038874551067E-3</v>
      </c>
      <c r="F38" s="58">
        <f>F25/F5</f>
        <v>-1.2146413400486708E-2</v>
      </c>
      <c r="G38" s="59">
        <v>-2E-3</v>
      </c>
      <c r="H38" s="22">
        <v>-2E-3</v>
      </c>
      <c r="I38" s="22">
        <v>-2E-3</v>
      </c>
      <c r="J38" s="22">
        <v>-2E-3</v>
      </c>
      <c r="K38" s="22">
        <v>-2E-3</v>
      </c>
      <c r="L38" s="22">
        <v>-2E-3</v>
      </c>
      <c r="M38" s="22">
        <v>-2E-3</v>
      </c>
      <c r="N38" s="22">
        <v>-2E-3</v>
      </c>
      <c r="O38" s="22">
        <v>-2E-3</v>
      </c>
      <c r="P38" s="22">
        <v>-2E-3</v>
      </c>
      <c r="Q38" s="22">
        <v>-2E-3</v>
      </c>
      <c r="R38" s="22">
        <v>-2E-3</v>
      </c>
      <c r="S38" s="22">
        <v>-2E-3</v>
      </c>
      <c r="T38" s="22">
        <v>-2E-3</v>
      </c>
    </row>
    <row r="39" spans="1:20" ht="14.25" customHeight="1" x14ac:dyDescent="0.45">
      <c r="A39" s="33"/>
      <c r="B39" s="49" t="s">
        <v>100</v>
      </c>
      <c r="C39" s="22">
        <v>0</v>
      </c>
      <c r="D39" s="22">
        <v>0</v>
      </c>
      <c r="E39" s="22">
        <v>0</v>
      </c>
      <c r="F39" s="22">
        <v>0.1</v>
      </c>
      <c r="G39" s="59">
        <v>0</v>
      </c>
      <c r="H39" s="22">
        <v>0.1</v>
      </c>
      <c r="I39" s="22">
        <v>0.18</v>
      </c>
      <c r="J39" s="22">
        <v>0.23</v>
      </c>
      <c r="K39" s="22">
        <v>0.23</v>
      </c>
      <c r="L39" s="22">
        <v>0.23</v>
      </c>
      <c r="M39" s="22">
        <v>0.23</v>
      </c>
      <c r="N39" s="22">
        <v>0.23</v>
      </c>
      <c r="O39" s="22">
        <v>0.23</v>
      </c>
      <c r="P39" s="22">
        <v>0.23</v>
      </c>
      <c r="Q39" s="22">
        <v>0.23</v>
      </c>
      <c r="R39" s="22">
        <v>0.23</v>
      </c>
      <c r="S39" s="22">
        <v>0.23</v>
      </c>
      <c r="T39" s="22">
        <v>0.23</v>
      </c>
    </row>
    <row r="40" spans="1:20" ht="14.25" customHeight="1" x14ac:dyDescent="0.45">
      <c r="A40" s="42"/>
      <c r="B40" s="49" t="s">
        <v>101</v>
      </c>
      <c r="C40" s="60" t="s">
        <v>74</v>
      </c>
      <c r="D40" s="61">
        <f>D5/C5-1</f>
        <v>4.6802452073042122E-2</v>
      </c>
      <c r="E40" s="61">
        <f>E5/D5-1</f>
        <v>0.41193708472157642</v>
      </c>
      <c r="F40" s="22">
        <v>0.48449999999999999</v>
      </c>
      <c r="G40" s="59">
        <v>0.33</v>
      </c>
      <c r="H40" s="22">
        <v>0.28000000000000003</v>
      </c>
      <c r="I40" s="22">
        <v>0.25</v>
      </c>
      <c r="J40" s="22">
        <v>0.22</v>
      </c>
      <c r="K40" s="22">
        <v>0.19</v>
      </c>
      <c r="L40" s="22">
        <v>0.16</v>
      </c>
      <c r="M40" s="22">
        <v>0.13</v>
      </c>
      <c r="N40" s="22">
        <v>0.1</v>
      </c>
      <c r="O40" s="22">
        <v>0.08</v>
      </c>
      <c r="P40" s="22">
        <v>7.0000000000000007E-2</v>
      </c>
      <c r="Q40" s="22">
        <v>0.06</v>
      </c>
      <c r="R40" s="22">
        <v>0.05</v>
      </c>
      <c r="S40" s="22">
        <v>0.04</v>
      </c>
      <c r="T40" s="22">
        <v>3.5000000000000003E-2</v>
      </c>
    </row>
  </sheetData>
  <mergeCells count="5">
    <mergeCell ref="B1:T1"/>
    <mergeCell ref="B3:T3"/>
    <mergeCell ref="B8:T8"/>
    <mergeCell ref="B13:T13"/>
    <mergeCell ref="B31:T31"/>
  </mergeCells>
  <pageMargins left="0.75" right="0.75" top="1" bottom="1" header="0.511811023622047" footer="0.511811023622047"/>
  <pageSetup paperSize="9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"/>
  <sheetViews>
    <sheetView showGridLines="0" zoomScale="49" zoomScaleNormal="49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50" sqref="K50"/>
    </sheetView>
  </sheetViews>
  <sheetFormatPr defaultColWidth="8.6640625" defaultRowHeight="14.25" x14ac:dyDescent="0.45"/>
  <cols>
    <col min="1" max="1" width="2.46484375" customWidth="1"/>
    <col min="2" max="2" width="40.796875" customWidth="1"/>
    <col min="3" max="20" width="13" customWidth="1"/>
  </cols>
  <sheetData>
    <row r="1" spans="1:35" ht="15.75" customHeight="1" x14ac:dyDescent="0.45">
      <c r="A1" s="27"/>
      <c r="B1" s="156" t="s">
        <v>102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35" ht="14.25" customHeight="1" x14ac:dyDescent="0.45">
      <c r="A2" s="28"/>
      <c r="B2" s="29"/>
      <c r="C2" s="30" t="s">
        <v>52</v>
      </c>
      <c r="D2" s="30" t="s">
        <v>53</v>
      </c>
      <c r="E2" s="30" t="s">
        <v>54</v>
      </c>
      <c r="F2" s="62" t="s">
        <v>55</v>
      </c>
      <c r="G2" s="31" t="s">
        <v>56</v>
      </c>
      <c r="H2" s="30" t="s">
        <v>57</v>
      </c>
      <c r="I2" s="30" t="s">
        <v>58</v>
      </c>
      <c r="J2" s="30" t="s">
        <v>59</v>
      </c>
      <c r="K2" s="30" t="s">
        <v>60</v>
      </c>
      <c r="L2" s="30" t="s">
        <v>61</v>
      </c>
      <c r="M2" s="30" t="s">
        <v>62</v>
      </c>
      <c r="N2" s="30" t="s">
        <v>63</v>
      </c>
      <c r="O2" s="30" t="s">
        <v>64</v>
      </c>
      <c r="P2" s="30" t="s">
        <v>65</v>
      </c>
      <c r="Q2" s="30" t="s">
        <v>66</v>
      </c>
      <c r="R2" s="30" t="s">
        <v>67</v>
      </c>
      <c r="S2" s="30" t="s">
        <v>68</v>
      </c>
      <c r="T2" s="30" t="s">
        <v>69</v>
      </c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14.25" customHeight="1" x14ac:dyDescent="0.45">
      <c r="A3" s="32"/>
      <c r="B3" s="1" t="s">
        <v>103</v>
      </c>
      <c r="C3" s="32"/>
      <c r="D3" s="32"/>
      <c r="E3" s="32"/>
      <c r="F3" s="32"/>
      <c r="G3" s="64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</row>
    <row r="4" spans="1:35" s="47" customFormat="1" ht="14.25" customHeight="1" x14ac:dyDescent="0.45">
      <c r="A4" s="33"/>
      <c r="B4" s="66" t="s">
        <v>104</v>
      </c>
      <c r="C4" s="33"/>
      <c r="D4" s="33"/>
      <c r="E4" s="33"/>
      <c r="F4" s="33"/>
      <c r="G4" s="46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</row>
    <row r="5" spans="1:35" ht="14.25" customHeight="1" x14ac:dyDescent="0.45">
      <c r="A5" s="33"/>
      <c r="B5" s="67" t="s">
        <v>105</v>
      </c>
      <c r="C5" s="35">
        <v>295913</v>
      </c>
      <c r="D5" s="35">
        <v>279251</v>
      </c>
      <c r="E5" s="35">
        <v>705144</v>
      </c>
      <c r="F5" s="35">
        <v>1675775</v>
      </c>
      <c r="G5" s="68">
        <f>F5+CFS!G25</f>
        <v>2065307.7699378084</v>
      </c>
      <c r="H5" s="69">
        <f>G5+CFS!H25</f>
        <v>2879540.1378896278</v>
      </c>
      <c r="I5" s="69">
        <f>H5+CFS!I25</f>
        <v>4013434.9831884154</v>
      </c>
      <c r="J5" s="69">
        <f>I5+CFS!J25</f>
        <v>5485823.5706298556</v>
      </c>
      <c r="K5" s="69">
        <f>J5+CFS!K25</f>
        <v>7294153.3399780458</v>
      </c>
      <c r="L5" s="69">
        <f>K5+CFS!L25</f>
        <v>9343643.7299855947</v>
      </c>
      <c r="M5" s="69">
        <f>L5+CFS!M25</f>
        <v>11577392.666333936</v>
      </c>
      <c r="N5" s="69">
        <f>M5+CFS!N25</f>
        <v>13918423.001710478</v>
      </c>
      <c r="O5" s="69">
        <f>N5+CFS!O25</f>
        <v>16408563.786657415</v>
      </c>
      <c r="P5" s="69">
        <f>O5+CFS!P25</f>
        <v>19063965.412848752</v>
      </c>
      <c r="Q5" s="69">
        <f>P5+CFS!Q25</f>
        <v>21831965.251578797</v>
      </c>
      <c r="R5" s="69">
        <f>Q5+CFS!R25</f>
        <v>24658947.698374536</v>
      </c>
      <c r="S5" s="69">
        <f>R5+CFS!S25</f>
        <v>27554213.677919697</v>
      </c>
      <c r="T5" s="69">
        <f>S5+CFS!T25</f>
        <v>30542695.221042354</v>
      </c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</row>
    <row r="6" spans="1:35" ht="14.25" customHeight="1" x14ac:dyDescent="0.45">
      <c r="A6" s="33"/>
      <c r="B6" s="70" t="s">
        <v>106</v>
      </c>
      <c r="C6" s="35">
        <v>155852</v>
      </c>
      <c r="D6" s="35">
        <v>139900</v>
      </c>
      <c r="E6" s="35">
        <v>182164</v>
      </c>
      <c r="F6" s="35">
        <v>260618</v>
      </c>
      <c r="G6" s="68">
        <f>IS!G4*G41/365</f>
        <v>345310.8223561644</v>
      </c>
      <c r="H6" s="69">
        <f>IS!H4*H41/365</f>
        <v>441997.85261589044</v>
      </c>
      <c r="I6" s="69">
        <f>IS!I4*I41/365</f>
        <v>552497.31576986297</v>
      </c>
      <c r="J6" s="69">
        <f>IS!J4*J41/365</f>
        <v>674046.72523923276</v>
      </c>
      <c r="K6" s="69">
        <f>IS!K4*K41/365</f>
        <v>802115.603034687</v>
      </c>
      <c r="L6" s="69">
        <f>IS!L4*L41/365</f>
        <v>930454.09952023684</v>
      </c>
      <c r="M6" s="69">
        <f>IS!M4*M41/365</f>
        <v>1051413.1324578675</v>
      </c>
      <c r="N6" s="69">
        <f>IS!N4*N41/365</f>
        <v>1156554.4457036543</v>
      </c>
      <c r="O6" s="69">
        <f>IS!O4*O41/365</f>
        <v>1249078.8013599468</v>
      </c>
      <c r="P6" s="69">
        <f>IS!P4*P41/365</f>
        <v>1336514.3174551434</v>
      </c>
      <c r="Q6" s="69">
        <f>IS!Q4*Q41/365</f>
        <v>1416705.1765024522</v>
      </c>
      <c r="R6" s="69">
        <f>IS!R4*R41/365</f>
        <v>1487540.4353275751</v>
      </c>
      <c r="S6" s="69">
        <f>IS!S4*S41/365</f>
        <v>1547042.052740678</v>
      </c>
      <c r="T6" s="69">
        <f>IS!T4*T41/365</f>
        <v>1601188.5245866014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</row>
    <row r="7" spans="1:35" ht="14.25" customHeight="1" x14ac:dyDescent="0.45">
      <c r="A7" s="33"/>
      <c r="B7" s="67" t="s">
        <v>107</v>
      </c>
      <c r="C7" s="35">
        <v>9536</v>
      </c>
      <c r="D7" s="35">
        <v>4807</v>
      </c>
      <c r="E7" s="35">
        <v>4183</v>
      </c>
      <c r="F7" s="35">
        <v>5676</v>
      </c>
      <c r="G7" s="71">
        <f>IS!G9*BS!G45/365</f>
        <v>7673.5738301369847</v>
      </c>
      <c r="H7" s="72">
        <f>IS!H9*BS!H45/365</f>
        <v>9576.6201400109567</v>
      </c>
      <c r="I7" s="72">
        <f>IS!I9*BS!I45/365</f>
        <v>11663.832221808216</v>
      </c>
      <c r="J7" s="72">
        <f>IS!J9*BS!J45/365</f>
        <v>13855.404907695345</v>
      </c>
      <c r="K7" s="72">
        <f>IS!K9*BS!K45/365</f>
        <v>16042.312060693743</v>
      </c>
      <c r="L7" s="72">
        <f>IS!L9*BS!L45/365</f>
        <v>18609.081990404742</v>
      </c>
      <c r="M7" s="72">
        <f>IS!M9*BS!M45/365</f>
        <v>21028.262649157357</v>
      </c>
      <c r="N7" s="72">
        <f>IS!N9*BS!N45/365</f>
        <v>23131.088914073094</v>
      </c>
      <c r="O7" s="72">
        <f>IS!O9*BS!O45/365</f>
        <v>24981.576027198946</v>
      </c>
      <c r="P7" s="72">
        <f>IS!P9*BS!P45/365</f>
        <v>26730.286349102877</v>
      </c>
      <c r="Q7" s="72">
        <f>IS!Q9*BS!Q45/365</f>
        <v>28334.103530049048</v>
      </c>
      <c r="R7" s="72">
        <f>IS!R9*BS!R45/365</f>
        <v>29750.808706551503</v>
      </c>
      <c r="S7" s="72">
        <f>IS!S9*BS!S45/365</f>
        <v>30940.841054813569</v>
      </c>
      <c r="T7" s="72">
        <f>IS!T9*BS!T45/365</f>
        <v>32023.770491732041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</row>
    <row r="8" spans="1:35" ht="14.25" customHeight="1" x14ac:dyDescent="0.45">
      <c r="A8" s="33"/>
      <c r="B8" s="67" t="s">
        <v>108</v>
      </c>
      <c r="C8" s="35">
        <v>34690</v>
      </c>
      <c r="D8" s="35">
        <v>44721</v>
      </c>
      <c r="E8" s="35">
        <v>77857</v>
      </c>
      <c r="F8" s="35">
        <v>155901</v>
      </c>
      <c r="G8" s="73">
        <f>IS!G4*BS!G46</f>
        <v>201311.41345000002</v>
      </c>
      <c r="H8" s="74">
        <f>IS!H4*BS!H46</f>
        <v>257678.60921600001</v>
      </c>
      <c r="I8" s="74">
        <f>IS!I4*BS!I46</f>
        <v>322098.26152</v>
      </c>
      <c r="J8" s="74">
        <f>IS!J4*BS!J46</f>
        <v>392959.87905439996</v>
      </c>
      <c r="K8" s="74">
        <f>IS!K4*BS!K46</f>
        <v>467622.25607473595</v>
      </c>
      <c r="L8" s="74">
        <f>IS!L4*BS!L46</f>
        <v>542441.81704669364</v>
      </c>
      <c r="M8" s="74">
        <f>IS!M4*BS!M46</f>
        <v>612959.25326276384</v>
      </c>
      <c r="N8" s="74">
        <f>IS!N4*BS!N46</f>
        <v>674255.1785890403</v>
      </c>
      <c r="O8" s="74">
        <f>IS!O4*BS!O46</f>
        <v>728195.59287616354</v>
      </c>
      <c r="P8" s="74">
        <f>IS!P4*BS!P46</f>
        <v>779169.28437749506</v>
      </c>
      <c r="Q8" s="74">
        <f>IS!Q4*BS!Q46</f>
        <v>825919.4414401449</v>
      </c>
      <c r="R8" s="74">
        <f>IS!R4*BS!R46</f>
        <v>867215.41351215215</v>
      </c>
      <c r="S8" s="74">
        <f>IS!S4*BS!S46</f>
        <v>901904.03005263838</v>
      </c>
      <c r="T8" s="74">
        <f>IS!T4*BS!T46</f>
        <v>933470.67110448063</v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</row>
    <row r="9" spans="1:35" ht="14.25" customHeight="1" x14ac:dyDescent="0.45">
      <c r="A9" s="33"/>
      <c r="B9" s="70" t="s">
        <v>109</v>
      </c>
      <c r="C9" s="35">
        <v>68804</v>
      </c>
      <c r="D9" s="35">
        <v>80034</v>
      </c>
      <c r="E9" s="35">
        <v>108293</v>
      </c>
      <c r="F9" s="35">
        <v>125594</v>
      </c>
      <c r="G9" s="73">
        <f>G47*IS!G5</f>
        <v>166300.73285</v>
      </c>
      <c r="H9" s="75">
        <f>H47*IS!H5</f>
        <v>212864.93804800001</v>
      </c>
      <c r="I9" s="75">
        <f>I47*IS!I5</f>
        <v>266081.17255999998</v>
      </c>
      <c r="J9" s="75">
        <f>J47*IS!J5</f>
        <v>324619.03052319994</v>
      </c>
      <c r="K9" s="75">
        <f>K47*IS!K5</f>
        <v>386296.64632260794</v>
      </c>
      <c r="L9" s="75">
        <f>L47*IS!L5</f>
        <v>448104.1097342252</v>
      </c>
      <c r="M9" s="75">
        <f>M47*IS!M5</f>
        <v>506357.64399967442</v>
      </c>
      <c r="N9" s="75">
        <f>N47*IS!N5</f>
        <v>556993.40839964198</v>
      </c>
      <c r="O9" s="75">
        <f>O47*IS!O5</f>
        <v>601552.8810716134</v>
      </c>
      <c r="P9" s="75">
        <f>P47*IS!P5</f>
        <v>643661.58274662634</v>
      </c>
      <c r="Q9" s="75">
        <f>Q47*IS!Q5</f>
        <v>682281.27771142405</v>
      </c>
      <c r="R9" s="75">
        <f>R47*IS!R5</f>
        <v>716395.34159699525</v>
      </c>
      <c r="S9" s="75">
        <f>S47*IS!S5</f>
        <v>745051.15526087512</v>
      </c>
      <c r="T9" s="75">
        <f>T47*IS!T5</f>
        <v>771127.94569500571</v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</row>
    <row r="10" spans="1:35" ht="14.25" customHeight="1" x14ac:dyDescent="0.45">
      <c r="A10" s="33"/>
      <c r="B10" s="76" t="s">
        <v>110</v>
      </c>
      <c r="C10" s="77">
        <f t="shared" ref="C10:T10" si="0">SUM(C5:C9)</f>
        <v>564795</v>
      </c>
      <c r="D10" s="77">
        <f t="shared" si="0"/>
        <v>548713</v>
      </c>
      <c r="E10" s="77">
        <f t="shared" si="0"/>
        <v>1077641</v>
      </c>
      <c r="F10" s="77">
        <f t="shared" si="0"/>
        <v>2223564</v>
      </c>
      <c r="G10" s="78">
        <f t="shared" si="0"/>
        <v>2785904.3124241093</v>
      </c>
      <c r="H10" s="37">
        <f t="shared" si="0"/>
        <v>3801658.1579095293</v>
      </c>
      <c r="I10" s="37">
        <f t="shared" si="0"/>
        <v>5165775.5652600862</v>
      </c>
      <c r="J10" s="37">
        <f t="shared" si="0"/>
        <v>6891304.6103543835</v>
      </c>
      <c r="K10" s="37">
        <f t="shared" si="0"/>
        <v>8966230.1574707702</v>
      </c>
      <c r="L10" s="37">
        <f t="shared" si="0"/>
        <v>11283252.838277156</v>
      </c>
      <c r="M10" s="37">
        <f t="shared" si="0"/>
        <v>13769150.958703401</v>
      </c>
      <c r="N10" s="37">
        <f t="shared" si="0"/>
        <v>16329357.123316888</v>
      </c>
      <c r="O10" s="37">
        <f t="shared" si="0"/>
        <v>19012372.637992337</v>
      </c>
      <c r="P10" s="37">
        <f t="shared" si="0"/>
        <v>21850040.883777119</v>
      </c>
      <c r="Q10" s="37">
        <f t="shared" si="0"/>
        <v>24785205.250762869</v>
      </c>
      <c r="R10" s="37">
        <f t="shared" si="0"/>
        <v>27759849.697517809</v>
      </c>
      <c r="S10" s="37">
        <f t="shared" si="0"/>
        <v>30779151.757028703</v>
      </c>
      <c r="T10" s="37">
        <f t="shared" si="0"/>
        <v>33880506.132920176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</row>
    <row r="11" spans="1:35" s="47" customFormat="1" ht="14.25" customHeight="1" x14ac:dyDescent="0.45">
      <c r="A11" s="33"/>
      <c r="B11" s="66" t="s">
        <v>111</v>
      </c>
      <c r="C11" s="33"/>
      <c r="D11" s="33"/>
      <c r="E11" s="33"/>
      <c r="F11" s="33"/>
      <c r="G11" s="46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</row>
    <row r="12" spans="1:35" ht="14.25" customHeight="1" x14ac:dyDescent="0.45">
      <c r="A12" s="33"/>
      <c r="B12" s="70" t="s">
        <v>112</v>
      </c>
      <c r="C12" s="35">
        <v>83009</v>
      </c>
      <c r="D12" s="35">
        <v>77706</v>
      </c>
      <c r="E12" s="35">
        <v>79100</v>
      </c>
      <c r="F12" s="35">
        <v>116738</v>
      </c>
      <c r="G12" s="68">
        <f>F12+IS!G5*G42-IS!G21</f>
        <v>106234.79582</v>
      </c>
      <c r="H12" s="69">
        <f>G12+IS!H5*H42-IS!H21</f>
        <v>101753.42870320001</v>
      </c>
      <c r="I12" s="69">
        <f>H12+IS!I5*I42-IS!I21</f>
        <v>101753.42870320001</v>
      </c>
      <c r="J12" s="69">
        <f>I12+IS!J5*J42-IS!J21</f>
        <v>108587.51355632002</v>
      </c>
      <c r="K12" s="69">
        <f>J12+IS!K5*K42-IS!K21</f>
        <v>116720.07453153282</v>
      </c>
      <c r="L12" s="69">
        <f>K12+IS!L5*L42-IS!L21</f>
        <v>126153.84526277965</v>
      </c>
      <c r="M12" s="69">
        <f>L12+IS!M5*M42-IS!M21</f>
        <v>136814.00618908857</v>
      </c>
      <c r="N12" s="69">
        <f>M12+IS!N5*N42-IS!N21</f>
        <v>148540.18320802844</v>
      </c>
      <c r="O12" s="69">
        <f>N12+IS!O5*O42-IS!O21</f>
        <v>161204.45438848349</v>
      </c>
      <c r="P12" s="69">
        <f>O12+IS!P5*P42-IS!P21</f>
        <v>174755.22455157037</v>
      </c>
      <c r="Q12" s="69">
        <f>P12+IS!Q5*Q42-IS!Q21</f>
        <v>189119.04092444247</v>
      </c>
      <c r="R12" s="69">
        <f>Q12+IS!R5*R42-IS!R21</f>
        <v>204201.04811595817</v>
      </c>
      <c r="S12" s="69">
        <f>R12+IS!S5*S42-IS!S21</f>
        <v>219886.3355951345</v>
      </c>
      <c r="T12" s="69">
        <f>S12+IS!T5*T42-IS!T21</f>
        <v>236120.60813608201</v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</row>
    <row r="13" spans="1:35" ht="14.25" customHeight="1" x14ac:dyDescent="0.45">
      <c r="A13" s="33"/>
      <c r="B13" s="70" t="s">
        <v>113</v>
      </c>
      <c r="C13" s="35">
        <v>4236</v>
      </c>
      <c r="D13" s="35">
        <v>100343</v>
      </c>
      <c r="E13" s="35">
        <v>100343</v>
      </c>
      <c r="F13" s="35">
        <v>199606</v>
      </c>
      <c r="G13" s="36">
        <f t="shared" ref="G13:T13" si="1">F13</f>
        <v>199606</v>
      </c>
      <c r="H13" s="37">
        <f t="shared" si="1"/>
        <v>199606</v>
      </c>
      <c r="I13" s="37">
        <f t="shared" si="1"/>
        <v>199606</v>
      </c>
      <c r="J13" s="37">
        <f t="shared" si="1"/>
        <v>199606</v>
      </c>
      <c r="K13" s="37">
        <f t="shared" si="1"/>
        <v>199606</v>
      </c>
      <c r="L13" s="37">
        <f t="shared" si="1"/>
        <v>199606</v>
      </c>
      <c r="M13" s="37">
        <f t="shared" si="1"/>
        <v>199606</v>
      </c>
      <c r="N13" s="37">
        <f t="shared" si="1"/>
        <v>199606</v>
      </c>
      <c r="O13" s="37">
        <f t="shared" si="1"/>
        <v>199606</v>
      </c>
      <c r="P13" s="37">
        <f t="shared" si="1"/>
        <v>199606</v>
      </c>
      <c r="Q13" s="37">
        <f t="shared" si="1"/>
        <v>199606</v>
      </c>
      <c r="R13" s="37">
        <f t="shared" si="1"/>
        <v>199606</v>
      </c>
      <c r="S13" s="37">
        <f t="shared" si="1"/>
        <v>199606</v>
      </c>
      <c r="T13" s="37">
        <f t="shared" si="1"/>
        <v>199606</v>
      </c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 spans="1:35" ht="14.25" customHeight="1" x14ac:dyDescent="0.45">
      <c r="A14" s="33"/>
      <c r="B14" s="67" t="s">
        <v>114</v>
      </c>
      <c r="C14" s="35">
        <v>4900</v>
      </c>
      <c r="D14" s="35">
        <v>2600</v>
      </c>
      <c r="E14" s="35">
        <v>4000</v>
      </c>
      <c r="F14" s="35">
        <v>8800</v>
      </c>
      <c r="G14" s="36">
        <f t="shared" ref="G14:T14" si="2">F14</f>
        <v>8800</v>
      </c>
      <c r="H14" s="37">
        <f t="shared" si="2"/>
        <v>8800</v>
      </c>
      <c r="I14" s="37">
        <f t="shared" si="2"/>
        <v>8800</v>
      </c>
      <c r="J14" s="37">
        <f t="shared" si="2"/>
        <v>8800</v>
      </c>
      <c r="K14" s="37">
        <f t="shared" si="2"/>
        <v>8800</v>
      </c>
      <c r="L14" s="37">
        <f t="shared" si="2"/>
        <v>8800</v>
      </c>
      <c r="M14" s="37">
        <f t="shared" si="2"/>
        <v>8800</v>
      </c>
      <c r="N14" s="37">
        <f t="shared" si="2"/>
        <v>8800</v>
      </c>
      <c r="O14" s="37">
        <f t="shared" si="2"/>
        <v>8800</v>
      </c>
      <c r="P14" s="37">
        <f t="shared" si="2"/>
        <v>8800</v>
      </c>
      <c r="Q14" s="37">
        <f t="shared" si="2"/>
        <v>8800</v>
      </c>
      <c r="R14" s="37">
        <f t="shared" si="2"/>
        <v>8800</v>
      </c>
      <c r="S14" s="37">
        <f t="shared" si="2"/>
        <v>8800</v>
      </c>
      <c r="T14" s="37">
        <f t="shared" si="2"/>
        <v>8800</v>
      </c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</row>
    <row r="15" spans="1:35" ht="14.25" customHeight="1" x14ac:dyDescent="0.45">
      <c r="A15" s="33"/>
      <c r="B15" s="67" t="s">
        <v>115</v>
      </c>
      <c r="C15" s="35">
        <v>100729</v>
      </c>
      <c r="D15" s="35">
        <v>113814</v>
      </c>
      <c r="E15" s="35">
        <v>132465</v>
      </c>
      <c r="F15" s="35">
        <v>157592</v>
      </c>
      <c r="G15" s="36">
        <f t="shared" ref="G15:T15" si="3">F15</f>
        <v>157592</v>
      </c>
      <c r="H15" s="37">
        <f t="shared" si="3"/>
        <v>157592</v>
      </c>
      <c r="I15" s="37">
        <f t="shared" si="3"/>
        <v>157592</v>
      </c>
      <c r="J15" s="37">
        <f t="shared" si="3"/>
        <v>157592</v>
      </c>
      <c r="K15" s="37">
        <f t="shared" si="3"/>
        <v>157592</v>
      </c>
      <c r="L15" s="37">
        <f t="shared" si="3"/>
        <v>157592</v>
      </c>
      <c r="M15" s="37">
        <f t="shared" si="3"/>
        <v>157592</v>
      </c>
      <c r="N15" s="37">
        <f t="shared" si="3"/>
        <v>157592</v>
      </c>
      <c r="O15" s="37">
        <f t="shared" si="3"/>
        <v>157592</v>
      </c>
      <c r="P15" s="37">
        <f t="shared" si="3"/>
        <v>157592</v>
      </c>
      <c r="Q15" s="37">
        <f t="shared" si="3"/>
        <v>157592</v>
      </c>
      <c r="R15" s="37">
        <f t="shared" si="3"/>
        <v>157592</v>
      </c>
      <c r="S15" s="37">
        <f t="shared" si="3"/>
        <v>157592</v>
      </c>
      <c r="T15" s="37">
        <f t="shared" si="3"/>
        <v>157592</v>
      </c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</row>
    <row r="16" spans="1:35" ht="14.25" customHeight="1" x14ac:dyDescent="0.45">
      <c r="A16" s="33"/>
      <c r="B16" s="70" t="s">
        <v>116</v>
      </c>
      <c r="C16" s="35">
        <v>11514</v>
      </c>
      <c r="D16" s="35">
        <v>30434</v>
      </c>
      <c r="E16" s="35">
        <v>29425</v>
      </c>
      <c r="F16" s="35">
        <v>60236</v>
      </c>
      <c r="G16" s="79">
        <f t="shared" ref="G16:T16" si="4">F16</f>
        <v>60236</v>
      </c>
      <c r="H16" s="80">
        <f t="shared" si="4"/>
        <v>60236</v>
      </c>
      <c r="I16" s="80">
        <f t="shared" si="4"/>
        <v>60236</v>
      </c>
      <c r="J16" s="80">
        <f t="shared" si="4"/>
        <v>60236</v>
      </c>
      <c r="K16" s="80">
        <f t="shared" si="4"/>
        <v>60236</v>
      </c>
      <c r="L16" s="80">
        <f t="shared" si="4"/>
        <v>60236</v>
      </c>
      <c r="M16" s="80">
        <f t="shared" si="4"/>
        <v>60236</v>
      </c>
      <c r="N16" s="80">
        <f t="shared" si="4"/>
        <v>60236</v>
      </c>
      <c r="O16" s="80">
        <f t="shared" si="4"/>
        <v>60236</v>
      </c>
      <c r="P16" s="80">
        <f t="shared" si="4"/>
        <v>60236</v>
      </c>
      <c r="Q16" s="80">
        <f t="shared" si="4"/>
        <v>60236</v>
      </c>
      <c r="R16" s="80">
        <f t="shared" si="4"/>
        <v>60236</v>
      </c>
      <c r="S16" s="80">
        <f t="shared" si="4"/>
        <v>60236</v>
      </c>
      <c r="T16" s="80">
        <f t="shared" si="4"/>
        <v>60236</v>
      </c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</row>
    <row r="17" spans="1:35" ht="14.25" customHeight="1" x14ac:dyDescent="0.45">
      <c r="A17" s="33"/>
      <c r="B17" s="81" t="s">
        <v>117</v>
      </c>
      <c r="C17" s="82">
        <f t="shared" ref="C17:T17" si="5">SUM(C12:C16)</f>
        <v>204388</v>
      </c>
      <c r="D17" s="82">
        <f t="shared" si="5"/>
        <v>324897</v>
      </c>
      <c r="E17" s="82">
        <f t="shared" si="5"/>
        <v>345333</v>
      </c>
      <c r="F17" s="82">
        <f t="shared" si="5"/>
        <v>542972</v>
      </c>
      <c r="G17" s="79">
        <f t="shared" si="5"/>
        <v>532468.79582</v>
      </c>
      <c r="H17" s="80">
        <f t="shared" si="5"/>
        <v>527987.42870320007</v>
      </c>
      <c r="I17" s="80">
        <f t="shared" si="5"/>
        <v>527987.42870320007</v>
      </c>
      <c r="J17" s="80">
        <f t="shared" si="5"/>
        <v>534821.51355631999</v>
      </c>
      <c r="K17" s="80">
        <f t="shared" si="5"/>
        <v>542954.07453153282</v>
      </c>
      <c r="L17" s="80">
        <f t="shared" si="5"/>
        <v>552387.84526277962</v>
      </c>
      <c r="M17" s="80">
        <f t="shared" si="5"/>
        <v>563048.00618908857</v>
      </c>
      <c r="N17" s="80">
        <f t="shared" si="5"/>
        <v>574774.18320802844</v>
      </c>
      <c r="O17" s="80">
        <f t="shared" si="5"/>
        <v>587438.45438848343</v>
      </c>
      <c r="P17" s="80">
        <f t="shared" si="5"/>
        <v>600989.22455157037</v>
      </c>
      <c r="Q17" s="80">
        <f t="shared" si="5"/>
        <v>615353.04092444247</v>
      </c>
      <c r="R17" s="80">
        <f t="shared" si="5"/>
        <v>630435.04811595823</v>
      </c>
      <c r="S17" s="80">
        <f t="shared" si="5"/>
        <v>646120.33559513453</v>
      </c>
      <c r="T17" s="80">
        <f t="shared" si="5"/>
        <v>662354.60813608207</v>
      </c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</row>
    <row r="18" spans="1:35" s="88" customFormat="1" ht="14.25" customHeight="1" x14ac:dyDescent="0.45">
      <c r="A18" s="83"/>
      <c r="B18" s="84" t="s">
        <v>118</v>
      </c>
      <c r="C18" s="85">
        <f t="shared" ref="C18:T18" si="6">C10+C17</f>
        <v>769183</v>
      </c>
      <c r="D18" s="85">
        <f t="shared" si="6"/>
        <v>873610</v>
      </c>
      <c r="E18" s="85">
        <f t="shared" si="6"/>
        <v>1422974</v>
      </c>
      <c r="F18" s="85">
        <f t="shared" si="6"/>
        <v>2766536</v>
      </c>
      <c r="G18" s="86">
        <f t="shared" si="6"/>
        <v>3318373.1082441094</v>
      </c>
      <c r="H18" s="85">
        <f t="shared" si="6"/>
        <v>4329645.5866127294</v>
      </c>
      <c r="I18" s="85">
        <f t="shared" si="6"/>
        <v>5693762.9939632863</v>
      </c>
      <c r="J18" s="85">
        <f t="shared" si="6"/>
        <v>7426126.1239107037</v>
      </c>
      <c r="K18" s="85">
        <f t="shared" si="6"/>
        <v>9509184.232002303</v>
      </c>
      <c r="L18" s="85">
        <f t="shared" si="6"/>
        <v>11835640.683539934</v>
      </c>
      <c r="M18" s="85">
        <f t="shared" si="6"/>
        <v>14332198.96489249</v>
      </c>
      <c r="N18" s="85">
        <f t="shared" si="6"/>
        <v>16904131.306524917</v>
      </c>
      <c r="O18" s="85">
        <f t="shared" si="6"/>
        <v>19599811.092380822</v>
      </c>
      <c r="P18" s="85">
        <f t="shared" si="6"/>
        <v>22451030.108328689</v>
      </c>
      <c r="Q18" s="85">
        <f t="shared" si="6"/>
        <v>25400558.29168731</v>
      </c>
      <c r="R18" s="85">
        <f t="shared" si="6"/>
        <v>28390284.745633766</v>
      </c>
      <c r="S18" s="85">
        <f t="shared" si="6"/>
        <v>31425272.092623837</v>
      </c>
      <c r="T18" s="85">
        <f t="shared" si="6"/>
        <v>34542860.741056256</v>
      </c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</row>
    <row r="19" spans="1:35" ht="14.25" customHeight="1" x14ac:dyDescent="0.45">
      <c r="A19" s="33"/>
      <c r="B19" s="33"/>
      <c r="C19" s="33"/>
      <c r="D19" s="33"/>
      <c r="E19" s="33"/>
      <c r="F19" s="33"/>
      <c r="G19" s="46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spans="1:35" ht="14.25" customHeight="1" x14ac:dyDescent="0.45">
      <c r="A20" s="32"/>
      <c r="B20" s="1" t="s">
        <v>119</v>
      </c>
      <c r="C20" s="32"/>
      <c r="D20" s="32"/>
      <c r="E20" s="32"/>
      <c r="F20" s="32"/>
      <c r="G20" s="64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</row>
    <row r="21" spans="1:35" ht="14.25" customHeight="1" x14ac:dyDescent="0.45">
      <c r="A21" s="33"/>
      <c r="B21" s="89" t="s">
        <v>120</v>
      </c>
      <c r="C21" s="33"/>
      <c r="D21" s="33"/>
      <c r="E21" s="33"/>
      <c r="F21" s="33"/>
      <c r="G21" s="46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</row>
    <row r="22" spans="1:35" ht="14.25" customHeight="1" x14ac:dyDescent="0.45">
      <c r="A22" s="33"/>
      <c r="B22" s="70" t="s">
        <v>121</v>
      </c>
      <c r="C22" s="35">
        <v>8085</v>
      </c>
      <c r="D22" s="35">
        <v>6867</v>
      </c>
      <c r="E22" s="35">
        <v>10439</v>
      </c>
      <c r="F22" s="35">
        <v>15329</v>
      </c>
      <c r="G22" s="90">
        <f>G48*IS!G9/365</f>
        <v>20143.131304109585</v>
      </c>
      <c r="H22" s="91">
        <f>H48*IS!H9/365</f>
        <v>25138.627867528761</v>
      </c>
      <c r="I22" s="91">
        <f>I48*IS!I9/365</f>
        <v>30617.559582246566</v>
      </c>
      <c r="J22" s="91">
        <f>J48*IS!J9/365</f>
        <v>36370.43788270028</v>
      </c>
      <c r="K22" s="91">
        <f>K48*IS!K9/365</f>
        <v>42111.069159321079</v>
      </c>
      <c r="L22" s="91">
        <f>L48*IS!L9/365</f>
        <v>48848.840224812448</v>
      </c>
      <c r="M22" s="91">
        <f>M48*IS!M9/365</f>
        <v>55199.18945403806</v>
      </c>
      <c r="N22" s="91">
        <f>N48*IS!N9/365</f>
        <v>60719.10839944188</v>
      </c>
      <c r="O22" s="91">
        <f>O48*IS!O9/365</f>
        <v>65576.637071397243</v>
      </c>
      <c r="P22" s="91">
        <f>P48*IS!P9/365</f>
        <v>70167.001666395052</v>
      </c>
      <c r="Q22" s="91">
        <f>Q48*IS!Q9/365</f>
        <v>74377.021766378748</v>
      </c>
      <c r="R22" s="91">
        <f>R48*IS!R9/365</f>
        <v>78095.872854697707</v>
      </c>
      <c r="S22" s="91">
        <f>S48*IS!S9/365</f>
        <v>81219.707768885622</v>
      </c>
      <c r="T22" s="91">
        <f>T48*IS!T9/365</f>
        <v>84062.397540796606</v>
      </c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</row>
    <row r="23" spans="1:35" ht="14.25" customHeight="1" x14ac:dyDescent="0.45">
      <c r="A23" s="33"/>
      <c r="B23" s="70" t="s">
        <v>122</v>
      </c>
      <c r="C23" s="35">
        <v>315954</v>
      </c>
      <c r="D23" s="35">
        <v>526480</v>
      </c>
      <c r="E23" s="35">
        <v>777135</v>
      </c>
      <c r="F23" s="35">
        <v>1068754</v>
      </c>
      <c r="G23" s="73">
        <f>IS!G5*G43</f>
        <v>1260384.5016000001</v>
      </c>
      <c r="H23" s="74">
        <f>IS!H5*H43</f>
        <v>1613292.1620479999</v>
      </c>
      <c r="I23" s="74">
        <f>IS!I5*I43</f>
        <v>2016615.2025599999</v>
      </c>
      <c r="J23" s="74">
        <f>IS!J5*J43</f>
        <v>2460270.5471231998</v>
      </c>
      <c r="K23" s="74">
        <f>IS!K5*K43</f>
        <v>2927721.9510766072</v>
      </c>
      <c r="L23" s="74">
        <f>IS!L5*L43</f>
        <v>3396157.4632488643</v>
      </c>
      <c r="M23" s="74">
        <f>IS!M5*M43</f>
        <v>3837657.9334712168</v>
      </c>
      <c r="N23" s="74">
        <f>IS!N5*N43</f>
        <v>4221423.726818339</v>
      </c>
      <c r="O23" s="74">
        <f>IS!O5*O43</f>
        <v>4559137.624963806</v>
      </c>
      <c r="P23" s="74">
        <f>IS!P5*P43</f>
        <v>4878277.2587112729</v>
      </c>
      <c r="Q23" s="74">
        <f>IS!Q5*Q43</f>
        <v>5170973.8942339504</v>
      </c>
      <c r="R23" s="74">
        <f>IS!R5*R43</f>
        <v>5429522.5889456477</v>
      </c>
      <c r="S23" s="74">
        <f>IS!S5*S43</f>
        <v>5646703.4925034745</v>
      </c>
      <c r="T23" s="74">
        <f>IS!T5*T43</f>
        <v>5844338.1147410953</v>
      </c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</row>
    <row r="24" spans="1:35" ht="14.25" customHeight="1" x14ac:dyDescent="0.45">
      <c r="A24" s="33"/>
      <c r="B24" s="70" t="s">
        <v>123</v>
      </c>
      <c r="C24" s="35">
        <v>111365</v>
      </c>
      <c r="D24" s="35">
        <v>122934</v>
      </c>
      <c r="E24" s="35">
        <v>162602</v>
      </c>
      <c r="F24" s="35">
        <v>229976</v>
      </c>
      <c r="G24" s="73">
        <f>G49*IS!G5</f>
        <v>306343.45525</v>
      </c>
      <c r="H24" s="75">
        <f>H49*IS!H5</f>
        <v>392119.62271999998</v>
      </c>
      <c r="I24" s="75">
        <f>I49*IS!I5</f>
        <v>490149.52839999995</v>
      </c>
      <c r="J24" s="75">
        <f>J49*IS!J5</f>
        <v>597982.42464799993</v>
      </c>
      <c r="K24" s="75">
        <f>K49*IS!K5</f>
        <v>711599.08533111983</v>
      </c>
      <c r="L24" s="75">
        <f>L49*IS!L5</f>
        <v>825454.93898409896</v>
      </c>
      <c r="M24" s="75">
        <f>M49*IS!M5</f>
        <v>932764.08105203183</v>
      </c>
      <c r="N24" s="75">
        <f>N49*IS!N5</f>
        <v>1026040.4891572351</v>
      </c>
      <c r="O24" s="75">
        <f>O49*IS!O5</f>
        <v>1108123.728289814</v>
      </c>
      <c r="P24" s="75">
        <f>P49*IS!P5</f>
        <v>1185692.3892701012</v>
      </c>
      <c r="Q24" s="75">
        <f>Q49*IS!Q5</f>
        <v>1256833.9326263072</v>
      </c>
      <c r="R24" s="75">
        <f>R49*IS!R5</f>
        <v>1319675.6292576229</v>
      </c>
      <c r="S24" s="75">
        <f>S49*IS!S5</f>
        <v>1372462.6544279277</v>
      </c>
      <c r="T24" s="75">
        <f>T49*IS!T5</f>
        <v>1420498.847332905</v>
      </c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</row>
    <row r="25" spans="1:35" ht="14.25" customHeight="1" x14ac:dyDescent="0.45">
      <c r="A25" s="33"/>
      <c r="B25" s="76" t="s">
        <v>124</v>
      </c>
      <c r="C25" s="77">
        <f t="shared" ref="C25:T25" si="7">SUM(C22:C24)</f>
        <v>435404</v>
      </c>
      <c r="D25" s="77">
        <f t="shared" si="7"/>
        <v>656281</v>
      </c>
      <c r="E25" s="77">
        <f t="shared" si="7"/>
        <v>950176</v>
      </c>
      <c r="F25" s="77">
        <f t="shared" si="7"/>
        <v>1314059</v>
      </c>
      <c r="G25" s="78">
        <f t="shared" si="7"/>
        <v>1586871.0881541097</v>
      </c>
      <c r="H25" s="37">
        <f t="shared" si="7"/>
        <v>2030550.4126355285</v>
      </c>
      <c r="I25" s="37">
        <f t="shared" si="7"/>
        <v>2537382.2905422463</v>
      </c>
      <c r="J25" s="37">
        <f t="shared" si="7"/>
        <v>3094623.4096539002</v>
      </c>
      <c r="K25" s="37">
        <f t="shared" si="7"/>
        <v>3681432.1055670483</v>
      </c>
      <c r="L25" s="37">
        <f t="shared" si="7"/>
        <v>4270461.2424577754</v>
      </c>
      <c r="M25" s="37">
        <f t="shared" si="7"/>
        <v>4825621.2039772868</v>
      </c>
      <c r="N25" s="37">
        <f t="shared" si="7"/>
        <v>5308183.3243750157</v>
      </c>
      <c r="O25" s="37">
        <f t="shared" si="7"/>
        <v>5732837.9903250169</v>
      </c>
      <c r="P25" s="37">
        <f t="shared" si="7"/>
        <v>6134136.6496477686</v>
      </c>
      <c r="Q25" s="37">
        <f t="shared" si="7"/>
        <v>6502184.848626636</v>
      </c>
      <c r="R25" s="37">
        <f t="shared" si="7"/>
        <v>6827294.0910579683</v>
      </c>
      <c r="S25" s="37">
        <f t="shared" si="7"/>
        <v>7100385.8547002878</v>
      </c>
      <c r="T25" s="37">
        <f t="shared" si="7"/>
        <v>7348899.3596147969</v>
      </c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</row>
    <row r="26" spans="1:35" ht="14.25" customHeight="1" x14ac:dyDescent="0.45">
      <c r="A26" s="33"/>
      <c r="B26" s="89" t="s">
        <v>125</v>
      </c>
      <c r="C26" s="33"/>
      <c r="D26" s="33"/>
      <c r="E26" s="33"/>
      <c r="F26" s="33"/>
      <c r="G26" s="46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</row>
    <row r="27" spans="1:35" ht="14.25" customHeight="1" x14ac:dyDescent="0.45">
      <c r="A27" s="33"/>
      <c r="B27" s="70" t="s">
        <v>126</v>
      </c>
      <c r="C27" s="35">
        <v>179699</v>
      </c>
      <c r="D27" s="35">
        <v>287042</v>
      </c>
      <c r="E27" s="35">
        <v>322341</v>
      </c>
      <c r="F27" s="35">
        <v>1130721</v>
      </c>
      <c r="G27" s="36">
        <f t="shared" ref="G27:T27" si="8">F27</f>
        <v>1130721</v>
      </c>
      <c r="H27" s="37">
        <f t="shared" si="8"/>
        <v>1130721</v>
      </c>
      <c r="I27" s="37">
        <f t="shared" si="8"/>
        <v>1130721</v>
      </c>
      <c r="J27" s="37">
        <f t="shared" si="8"/>
        <v>1130721</v>
      </c>
      <c r="K27" s="37">
        <f t="shared" si="8"/>
        <v>1130721</v>
      </c>
      <c r="L27" s="37">
        <f t="shared" si="8"/>
        <v>1130721</v>
      </c>
      <c r="M27" s="37">
        <f t="shared" si="8"/>
        <v>1130721</v>
      </c>
      <c r="N27" s="37">
        <f t="shared" si="8"/>
        <v>1130721</v>
      </c>
      <c r="O27" s="37">
        <f t="shared" si="8"/>
        <v>1130721</v>
      </c>
      <c r="P27" s="37">
        <f t="shared" si="8"/>
        <v>1130721</v>
      </c>
      <c r="Q27" s="37">
        <f t="shared" si="8"/>
        <v>1130721</v>
      </c>
      <c r="R27" s="37">
        <f t="shared" si="8"/>
        <v>1130721</v>
      </c>
      <c r="S27" s="37">
        <f t="shared" si="8"/>
        <v>1130721</v>
      </c>
      <c r="T27" s="37">
        <f t="shared" si="8"/>
        <v>1130721</v>
      </c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</row>
    <row r="28" spans="1:35" ht="14.25" customHeight="1" x14ac:dyDescent="0.45">
      <c r="A28" s="33"/>
      <c r="B28" s="70" t="s">
        <v>127</v>
      </c>
      <c r="C28" s="35">
        <v>490279</v>
      </c>
      <c r="D28" s="35">
        <v>579781</v>
      </c>
      <c r="E28" s="35">
        <v>642370</v>
      </c>
      <c r="F28" s="35">
        <v>776547</v>
      </c>
      <c r="G28" s="73">
        <f>G44*IS!G5</f>
        <v>962793.7165000001</v>
      </c>
      <c r="H28" s="74">
        <f>H44*IS!H5</f>
        <v>1232375.9571200002</v>
      </c>
      <c r="I28" s="74">
        <f>I44*IS!I5</f>
        <v>1540469.9464</v>
      </c>
      <c r="J28" s="74">
        <f>J44*IS!J5</f>
        <v>1879373.334608</v>
      </c>
      <c r="K28" s="74">
        <f>K44*IS!K5</f>
        <v>2236454.2681835196</v>
      </c>
      <c r="L28" s="74">
        <f>L44*IS!L5</f>
        <v>2594286.951092883</v>
      </c>
      <c r="M28" s="74">
        <f>M44*IS!M5</f>
        <v>2931544.2547349576</v>
      </c>
      <c r="N28" s="74">
        <f>N44*IS!N5</f>
        <v>3224698.6802084534</v>
      </c>
      <c r="O28" s="74">
        <f>O44*IS!O5</f>
        <v>3482674.5746251303</v>
      </c>
      <c r="P28" s="74">
        <f>P44*IS!P5</f>
        <v>3726461.7948488896</v>
      </c>
      <c r="Q28" s="74">
        <f>Q44*IS!Q5</f>
        <v>3950049.5025398233</v>
      </c>
      <c r="R28" s="74">
        <f>R44*IS!R5</f>
        <v>4147551.9776668148</v>
      </c>
      <c r="S28" s="74">
        <f>S44*IS!S5</f>
        <v>4313454.0567734875</v>
      </c>
      <c r="T28" s="74">
        <f>T44*IS!T5</f>
        <v>4464424.9487605598</v>
      </c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</row>
    <row r="29" spans="1:35" ht="14.25" customHeight="1" x14ac:dyDescent="0.45">
      <c r="A29" s="33"/>
      <c r="B29" s="70" t="s">
        <v>128</v>
      </c>
      <c r="C29" s="35">
        <v>36417</v>
      </c>
      <c r="D29" s="35">
        <v>55050</v>
      </c>
      <c r="E29" s="35">
        <v>61821</v>
      </c>
      <c r="F29" s="35">
        <v>64771</v>
      </c>
      <c r="G29" s="36">
        <f t="shared" ref="G29:T29" si="9">F29</f>
        <v>64771</v>
      </c>
      <c r="H29" s="80">
        <f t="shared" si="9"/>
        <v>64771</v>
      </c>
      <c r="I29" s="80">
        <f t="shared" si="9"/>
        <v>64771</v>
      </c>
      <c r="J29" s="80">
        <f t="shared" si="9"/>
        <v>64771</v>
      </c>
      <c r="K29" s="80">
        <f t="shared" si="9"/>
        <v>64771</v>
      </c>
      <c r="L29" s="80">
        <f t="shared" si="9"/>
        <v>64771</v>
      </c>
      <c r="M29" s="80">
        <f t="shared" si="9"/>
        <v>64771</v>
      </c>
      <c r="N29" s="80">
        <f t="shared" si="9"/>
        <v>64771</v>
      </c>
      <c r="O29" s="80">
        <f t="shared" si="9"/>
        <v>64771</v>
      </c>
      <c r="P29" s="80">
        <f t="shared" si="9"/>
        <v>64771</v>
      </c>
      <c r="Q29" s="80">
        <f t="shared" si="9"/>
        <v>64771</v>
      </c>
      <c r="R29" s="80">
        <f t="shared" si="9"/>
        <v>64771</v>
      </c>
      <c r="S29" s="80">
        <f t="shared" si="9"/>
        <v>64771</v>
      </c>
      <c r="T29" s="80">
        <f t="shared" si="9"/>
        <v>64771</v>
      </c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</row>
    <row r="30" spans="1:35" ht="14.25" customHeight="1" x14ac:dyDescent="0.45">
      <c r="A30" s="33"/>
      <c r="B30" s="76" t="s">
        <v>129</v>
      </c>
      <c r="C30" s="77">
        <f t="shared" ref="C30:T30" si="10">SUM(C27:C29)</f>
        <v>706395</v>
      </c>
      <c r="D30" s="77">
        <f t="shared" si="10"/>
        <v>921873</v>
      </c>
      <c r="E30" s="77">
        <f t="shared" si="10"/>
        <v>1026532</v>
      </c>
      <c r="F30" s="77">
        <f t="shared" si="10"/>
        <v>1972039</v>
      </c>
      <c r="G30" s="78">
        <f t="shared" si="10"/>
        <v>2158285.7165000001</v>
      </c>
      <c r="H30" s="37">
        <f t="shared" si="10"/>
        <v>2427867.9571200004</v>
      </c>
      <c r="I30" s="37">
        <f t="shared" si="10"/>
        <v>2735961.9463999998</v>
      </c>
      <c r="J30" s="37">
        <f t="shared" si="10"/>
        <v>3074865.3346079998</v>
      </c>
      <c r="K30" s="37">
        <f t="shared" si="10"/>
        <v>3431946.2681835196</v>
      </c>
      <c r="L30" s="37">
        <f t="shared" si="10"/>
        <v>3789778.951092883</v>
      </c>
      <c r="M30" s="37">
        <f t="shared" si="10"/>
        <v>4127036.2547349576</v>
      </c>
      <c r="N30" s="37">
        <f t="shared" si="10"/>
        <v>4420190.6802084539</v>
      </c>
      <c r="O30" s="37">
        <f t="shared" si="10"/>
        <v>4678166.5746251307</v>
      </c>
      <c r="P30" s="37">
        <f t="shared" si="10"/>
        <v>4921953.7948488891</v>
      </c>
      <c r="Q30" s="37">
        <f t="shared" si="10"/>
        <v>5145541.5025398228</v>
      </c>
      <c r="R30" s="37">
        <f t="shared" si="10"/>
        <v>5343043.9776668148</v>
      </c>
      <c r="S30" s="37">
        <f t="shared" si="10"/>
        <v>5508946.0567734875</v>
      </c>
      <c r="T30" s="37">
        <f t="shared" si="10"/>
        <v>5659916.9487605598</v>
      </c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</row>
    <row r="31" spans="1:35" ht="14.25" customHeight="1" x14ac:dyDescent="0.45">
      <c r="A31" s="92"/>
      <c r="B31" s="93" t="s">
        <v>130</v>
      </c>
      <c r="C31" s="85">
        <f t="shared" ref="C31:T31" si="11">C25+C30</f>
        <v>1141799</v>
      </c>
      <c r="D31" s="85">
        <f t="shared" si="11"/>
        <v>1578154</v>
      </c>
      <c r="E31" s="85">
        <f t="shared" si="11"/>
        <v>1976708</v>
      </c>
      <c r="F31" s="85">
        <f t="shared" si="11"/>
        <v>3286098</v>
      </c>
      <c r="G31" s="86">
        <f t="shared" si="11"/>
        <v>3745156.8046541098</v>
      </c>
      <c r="H31" s="85">
        <f t="shared" si="11"/>
        <v>4458418.3697555289</v>
      </c>
      <c r="I31" s="85">
        <f t="shared" si="11"/>
        <v>5273344.2369422466</v>
      </c>
      <c r="J31" s="85">
        <f t="shared" si="11"/>
        <v>6169488.7442619</v>
      </c>
      <c r="K31" s="85">
        <f t="shared" si="11"/>
        <v>7113378.3737505674</v>
      </c>
      <c r="L31" s="85">
        <f t="shared" si="11"/>
        <v>8060240.1935506584</v>
      </c>
      <c r="M31" s="85">
        <f t="shared" si="11"/>
        <v>8952657.4587122444</v>
      </c>
      <c r="N31" s="85">
        <f t="shared" si="11"/>
        <v>9728374.0045834705</v>
      </c>
      <c r="O31" s="85">
        <f t="shared" si="11"/>
        <v>10411004.564950148</v>
      </c>
      <c r="P31" s="85">
        <f t="shared" si="11"/>
        <v>11056090.444496658</v>
      </c>
      <c r="Q31" s="85">
        <f t="shared" si="11"/>
        <v>11647726.351166459</v>
      </c>
      <c r="R31" s="85">
        <f t="shared" si="11"/>
        <v>12170338.068724783</v>
      </c>
      <c r="S31" s="85">
        <f t="shared" si="11"/>
        <v>12609331.911473775</v>
      </c>
      <c r="T31" s="85">
        <f t="shared" si="11"/>
        <v>13008816.308375357</v>
      </c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</row>
    <row r="32" spans="1:35" ht="14.25" customHeight="1" x14ac:dyDescent="0.45">
      <c r="A32" s="33"/>
      <c r="B32" s="33"/>
      <c r="C32" s="33"/>
      <c r="D32" s="33"/>
      <c r="E32" s="33"/>
      <c r="F32" s="33"/>
      <c r="G32" s="46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</row>
    <row r="33" spans="1:35" ht="14.25" customHeight="1" x14ac:dyDescent="0.45">
      <c r="A33" s="32"/>
      <c r="B33" s="1" t="s">
        <v>131</v>
      </c>
      <c r="C33" s="32"/>
      <c r="D33" s="32"/>
      <c r="E33" s="32"/>
      <c r="F33" s="32"/>
      <c r="G33" s="64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</row>
    <row r="34" spans="1:35" ht="14.25" customHeight="1" x14ac:dyDescent="0.45">
      <c r="A34" s="33"/>
      <c r="B34" s="70" t="s">
        <v>132</v>
      </c>
      <c r="C34" s="35">
        <v>955739</v>
      </c>
      <c r="D34" s="35">
        <v>977969</v>
      </c>
      <c r="E34" s="35">
        <v>2283599</v>
      </c>
      <c r="F34" s="35">
        <v>2666599</v>
      </c>
      <c r="G34" s="68">
        <f>F34+CFS!G6+CFS!G21</f>
        <v>3051716.4865999999</v>
      </c>
      <c r="H34" s="69">
        <f>G34+CFS!H6+CFS!H21</f>
        <v>3477446.3626959999</v>
      </c>
      <c r="I34" s="69">
        <f>H34+CFS!I6+CFS!I21</f>
        <v>3925583.0743760001</v>
      </c>
      <c r="J34" s="69">
        <f>I34+CFS!J6+CFS!J21</f>
        <v>4403969.0140944002</v>
      </c>
      <c r="K34" s="69">
        <f>J34+CFS!K6+CFS!K21</f>
        <v>4932585.4774832325</v>
      </c>
      <c r="L34" s="69">
        <f>K34+CFS!L6+CFS!L21</f>
        <v>5498611.7213580431</v>
      </c>
      <c r="M34" s="69">
        <f>L34+CFS!M6+CFS!M21</f>
        <v>6084920.5723050348</v>
      </c>
      <c r="N34" s="69">
        <f>M34+CFS!N6+CFS!N21</f>
        <v>6671229.4232520266</v>
      </c>
      <c r="O34" s="69">
        <f>N34+CFS!O6+CFS!O21</f>
        <v>7304442.9822747773</v>
      </c>
      <c r="P34" s="69">
        <f>O34+CFS!P6+CFS!P21</f>
        <v>7981981.4904291211</v>
      </c>
      <c r="Q34" s="69">
        <f>P34+CFS!Q6+CFS!Q21</f>
        <v>8664262.7681405451</v>
      </c>
      <c r="R34" s="69">
        <f>Q34+CFS!R6+CFS!R21</f>
        <v>9342953.0917587504</v>
      </c>
      <c r="S34" s="69">
        <f>R34+CFS!S6+CFS!S21</f>
        <v>10048791.028321685</v>
      </c>
      <c r="T34" s="69">
        <f>S34+CFS!T6+CFS!T21</f>
        <v>10779333.292664323</v>
      </c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</row>
    <row r="35" spans="1:35" ht="14.25" customHeight="1" x14ac:dyDescent="0.45">
      <c r="A35" s="33"/>
      <c r="B35" s="70" t="s">
        <v>133</v>
      </c>
      <c r="C35" s="35">
        <v>-1328355</v>
      </c>
      <c r="D35" s="35">
        <v>-1682513</v>
      </c>
      <c r="E35" s="35">
        <v>-2837333</v>
      </c>
      <c r="F35" s="35">
        <v>-3186161</v>
      </c>
      <c r="G35" s="68">
        <f>F35+IS!G28</f>
        <v>-3478500.1830099998</v>
      </c>
      <c r="H35" s="69">
        <f>G35+IS!H28</f>
        <v>-3606219.1458387994</v>
      </c>
      <c r="I35" s="69">
        <f>H35+IS!I28</f>
        <v>-3505164.3173549594</v>
      </c>
      <c r="J35" s="69">
        <f>I35+IS!J28</f>
        <v>-3147331.6344455965</v>
      </c>
      <c r="K35" s="69">
        <f>J35+IS!K28</f>
        <v>-2536779.619231496</v>
      </c>
      <c r="L35" s="69">
        <f>K35+IS!L28</f>
        <v>-1723211.231368768</v>
      </c>
      <c r="M35" s="69">
        <f>L35+IS!M28</f>
        <v>-705379.06612479105</v>
      </c>
      <c r="N35" s="69">
        <f>M35+IS!N28</f>
        <v>504527.87868942111</v>
      </c>
      <c r="O35" s="69">
        <f>N35+IS!O28</f>
        <v>1884363.545155897</v>
      </c>
      <c r="P35" s="69">
        <f>O35+IS!P28</f>
        <v>3412958.1734029111</v>
      </c>
      <c r="Q35" s="69">
        <f>P35+IS!Q28</f>
        <v>5088569.172380304</v>
      </c>
      <c r="R35" s="69">
        <f>Q35+IS!R28</f>
        <v>6876993.5851502344</v>
      </c>
      <c r="S35" s="69">
        <f>R35+IS!S28</f>
        <v>8767149.1528283767</v>
      </c>
      <c r="T35" s="69">
        <f>S35+IS!T28</f>
        <v>10754711.140016578</v>
      </c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</row>
    <row r="36" spans="1:35" ht="14.25" customHeight="1" x14ac:dyDescent="0.45">
      <c r="A36" s="33"/>
      <c r="B36" s="76" t="s">
        <v>134</v>
      </c>
      <c r="C36" s="77">
        <f t="shared" ref="C36:T36" si="12">C34+C35</f>
        <v>-372616</v>
      </c>
      <c r="D36" s="77">
        <f t="shared" si="12"/>
        <v>-704544</v>
      </c>
      <c r="E36" s="77">
        <f t="shared" si="12"/>
        <v>-553734</v>
      </c>
      <c r="F36" s="77">
        <f t="shared" si="12"/>
        <v>-519562</v>
      </c>
      <c r="G36" s="78">
        <f t="shared" si="12"/>
        <v>-426783.69640999986</v>
      </c>
      <c r="H36" s="77">
        <f t="shared" si="12"/>
        <v>-128772.78314279951</v>
      </c>
      <c r="I36" s="77">
        <f t="shared" si="12"/>
        <v>420418.75702104066</v>
      </c>
      <c r="J36" s="77">
        <f t="shared" si="12"/>
        <v>1256637.3796488037</v>
      </c>
      <c r="K36" s="77">
        <f t="shared" si="12"/>
        <v>2395805.8582517365</v>
      </c>
      <c r="L36" s="77">
        <f t="shared" si="12"/>
        <v>3775400.4899892751</v>
      </c>
      <c r="M36" s="77">
        <f t="shared" si="12"/>
        <v>5379541.5061802436</v>
      </c>
      <c r="N36" s="77">
        <f t="shared" si="12"/>
        <v>7175757.3019414479</v>
      </c>
      <c r="O36" s="77">
        <f t="shared" si="12"/>
        <v>9188806.5274306741</v>
      </c>
      <c r="P36" s="77">
        <f t="shared" si="12"/>
        <v>11394939.663832031</v>
      </c>
      <c r="Q36" s="77">
        <f t="shared" si="12"/>
        <v>13752831.940520849</v>
      </c>
      <c r="R36" s="77">
        <f t="shared" si="12"/>
        <v>16219946.676908985</v>
      </c>
      <c r="S36" s="77">
        <f t="shared" si="12"/>
        <v>18815940.181150064</v>
      </c>
      <c r="T36" s="77">
        <f t="shared" si="12"/>
        <v>21534044.432680901</v>
      </c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</row>
    <row r="37" spans="1:35" ht="14.25" customHeight="1" x14ac:dyDescent="0.45">
      <c r="A37" s="92"/>
      <c r="B37" s="95" t="s">
        <v>135</v>
      </c>
      <c r="C37" s="96">
        <f t="shared" ref="C37:T37" si="13">C31+C36</f>
        <v>769183</v>
      </c>
      <c r="D37" s="96">
        <f t="shared" si="13"/>
        <v>873610</v>
      </c>
      <c r="E37" s="96">
        <f t="shared" si="13"/>
        <v>1422974</v>
      </c>
      <c r="F37" s="96">
        <f t="shared" si="13"/>
        <v>2766536</v>
      </c>
      <c r="G37" s="97">
        <f t="shared" si="13"/>
        <v>3318373.1082441099</v>
      </c>
      <c r="H37" s="96">
        <f t="shared" si="13"/>
        <v>4329645.5866127294</v>
      </c>
      <c r="I37" s="96">
        <f t="shared" si="13"/>
        <v>5693762.9939632872</v>
      </c>
      <c r="J37" s="96">
        <f t="shared" si="13"/>
        <v>7426126.1239107037</v>
      </c>
      <c r="K37" s="96">
        <f t="shared" si="13"/>
        <v>9509184.232002303</v>
      </c>
      <c r="L37" s="96">
        <f t="shared" si="13"/>
        <v>11835640.683539934</v>
      </c>
      <c r="M37" s="96">
        <f t="shared" si="13"/>
        <v>14332198.964892488</v>
      </c>
      <c r="N37" s="96">
        <f t="shared" si="13"/>
        <v>16904131.306524917</v>
      </c>
      <c r="O37" s="96">
        <f t="shared" si="13"/>
        <v>19599811.092380822</v>
      </c>
      <c r="P37" s="96">
        <f t="shared" si="13"/>
        <v>22451030.108328689</v>
      </c>
      <c r="Q37" s="96">
        <f t="shared" si="13"/>
        <v>25400558.29168731</v>
      </c>
      <c r="R37" s="96">
        <f t="shared" si="13"/>
        <v>28390284.745633766</v>
      </c>
      <c r="S37" s="96">
        <f t="shared" si="13"/>
        <v>31425272.092623837</v>
      </c>
      <c r="T37" s="96">
        <f t="shared" si="13"/>
        <v>34542860.741056256</v>
      </c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</row>
    <row r="38" spans="1:35" ht="14.25" customHeight="1" x14ac:dyDescent="0.45">
      <c r="A38" s="33"/>
      <c r="B38" s="98" t="s">
        <v>136</v>
      </c>
      <c r="C38" s="37">
        <f t="shared" ref="C38:T38" si="14">C18-C37</f>
        <v>0</v>
      </c>
      <c r="D38" s="37">
        <f t="shared" si="14"/>
        <v>0</v>
      </c>
      <c r="E38" s="37">
        <f t="shared" si="14"/>
        <v>0</v>
      </c>
      <c r="F38" s="37">
        <f t="shared" si="14"/>
        <v>0</v>
      </c>
      <c r="G38" s="36">
        <f t="shared" si="14"/>
        <v>0</v>
      </c>
      <c r="H38" s="37">
        <f t="shared" si="14"/>
        <v>0</v>
      </c>
      <c r="I38" s="37">
        <f t="shared" si="14"/>
        <v>0</v>
      </c>
      <c r="J38" s="37">
        <f t="shared" si="14"/>
        <v>0</v>
      </c>
      <c r="K38" s="37">
        <f t="shared" si="14"/>
        <v>0</v>
      </c>
      <c r="L38" s="37">
        <f t="shared" si="14"/>
        <v>0</v>
      </c>
      <c r="M38" s="37">
        <f t="shared" si="14"/>
        <v>0</v>
      </c>
      <c r="N38" s="37">
        <f t="shared" si="14"/>
        <v>0</v>
      </c>
      <c r="O38" s="37">
        <f t="shared" si="14"/>
        <v>0</v>
      </c>
      <c r="P38" s="37">
        <f t="shared" si="14"/>
        <v>0</v>
      </c>
      <c r="Q38" s="37">
        <f t="shared" si="14"/>
        <v>0</v>
      </c>
      <c r="R38" s="37">
        <f t="shared" si="14"/>
        <v>0</v>
      </c>
      <c r="S38" s="37">
        <f t="shared" si="14"/>
        <v>0</v>
      </c>
      <c r="T38" s="37">
        <f t="shared" si="14"/>
        <v>0</v>
      </c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</row>
    <row r="39" spans="1:35" ht="14.25" customHeight="1" x14ac:dyDescent="0.45">
      <c r="A39" s="33"/>
      <c r="B39" s="33"/>
      <c r="C39" s="33"/>
      <c r="D39" s="33"/>
      <c r="E39" s="33"/>
      <c r="F39" s="33"/>
      <c r="G39" s="46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</row>
    <row r="40" spans="1:35" ht="14.25" customHeight="1" x14ac:dyDescent="0.45">
      <c r="A40" s="32"/>
      <c r="B40" s="1" t="s">
        <v>137</v>
      </c>
      <c r="C40" s="32"/>
      <c r="D40" s="32"/>
      <c r="E40" s="32"/>
      <c r="F40" s="32"/>
      <c r="G40" s="64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</row>
    <row r="41" spans="1:35" ht="14.25" customHeight="1" x14ac:dyDescent="0.45">
      <c r="A41" s="33"/>
      <c r="B41" s="99" t="s">
        <v>138</v>
      </c>
      <c r="C41" s="100">
        <f>C6/IS!C5*365</f>
        <v>94.838576303851653</v>
      </c>
      <c r="D41" s="100">
        <f>D6/IS!D5*365</f>
        <v>81.32529161065915</v>
      </c>
      <c r="E41" s="100">
        <f>E6/IS!E5*365</f>
        <v>74.99893970293634</v>
      </c>
      <c r="F41" s="101">
        <f>F6/IS!F5*365</f>
        <v>72.273378255891444</v>
      </c>
      <c r="G41" s="102">
        <v>72</v>
      </c>
      <c r="H41" s="103">
        <v>72</v>
      </c>
      <c r="I41" s="103">
        <v>72</v>
      </c>
      <c r="J41" s="103">
        <v>72</v>
      </c>
      <c r="K41" s="103">
        <v>72</v>
      </c>
      <c r="L41" s="103">
        <v>72</v>
      </c>
      <c r="M41" s="103">
        <v>72</v>
      </c>
      <c r="N41" s="103">
        <v>72</v>
      </c>
      <c r="O41" s="103">
        <v>72</v>
      </c>
      <c r="P41" s="103">
        <v>72</v>
      </c>
      <c r="Q41" s="103">
        <v>72</v>
      </c>
      <c r="R41" s="103">
        <v>72</v>
      </c>
      <c r="S41" s="103">
        <v>72</v>
      </c>
      <c r="T41" s="103">
        <v>72</v>
      </c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</row>
    <row r="42" spans="1:35" ht="14.25" customHeight="1" x14ac:dyDescent="0.45">
      <c r="A42" s="33"/>
      <c r="B42" s="99" t="s">
        <v>139</v>
      </c>
      <c r="C42" s="104">
        <f>-CFS!C13/IS!C5</f>
        <v>4.1707581787172467E-2</v>
      </c>
      <c r="D42" s="104">
        <f>-CFS!D13/IS!D5</f>
        <v>1.9641912940441986E-2</v>
      </c>
      <c r="E42" s="104">
        <f>-CFS!E13/IS!E5</f>
        <v>1.9045867999783427E-2</v>
      </c>
      <c r="F42" s="104">
        <f>-CFS!F13/IS!F5</f>
        <v>2.2512690027511204E-2</v>
      </c>
      <c r="G42" s="59">
        <v>0.02</v>
      </c>
      <c r="H42" s="22">
        <v>0.02</v>
      </c>
      <c r="I42" s="22">
        <v>0.02</v>
      </c>
      <c r="J42" s="22">
        <v>0.02</v>
      </c>
      <c r="K42" s="22">
        <v>0.02</v>
      </c>
      <c r="L42" s="22">
        <v>0.02</v>
      </c>
      <c r="M42" s="22">
        <v>0.02</v>
      </c>
      <c r="N42" s="22">
        <v>0.02</v>
      </c>
      <c r="O42" s="22">
        <v>0.02</v>
      </c>
      <c r="P42" s="22">
        <v>0.02</v>
      </c>
      <c r="Q42" s="22">
        <v>0.02</v>
      </c>
      <c r="R42" s="22">
        <v>0.02</v>
      </c>
      <c r="S42" s="22">
        <v>0.02</v>
      </c>
      <c r="T42" s="22">
        <v>0.02</v>
      </c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</row>
    <row r="43" spans="1:35" ht="14.25" customHeight="1" x14ac:dyDescent="0.45">
      <c r="A43" s="33"/>
      <c r="B43" s="99" t="s">
        <v>140</v>
      </c>
      <c r="C43" s="104">
        <f>C23/IS!C5</f>
        <v>0.52674890258561335</v>
      </c>
      <c r="D43" s="104">
        <f>D23/IS!D5</f>
        <v>0.83848814764322532</v>
      </c>
      <c r="E43" s="104">
        <f>E23/IS!E5</f>
        <v>0.87658931761988124</v>
      </c>
      <c r="F43" s="104">
        <f>F23/IS!F5</f>
        <v>0.8120052484783743</v>
      </c>
      <c r="G43" s="59">
        <v>0.72</v>
      </c>
      <c r="H43" s="22">
        <v>0.72</v>
      </c>
      <c r="I43" s="22">
        <v>0.72</v>
      </c>
      <c r="J43" s="22">
        <v>0.72</v>
      </c>
      <c r="K43" s="22">
        <v>0.72</v>
      </c>
      <c r="L43" s="22">
        <v>0.72</v>
      </c>
      <c r="M43" s="22">
        <v>0.72</v>
      </c>
      <c r="N43" s="22">
        <v>0.72</v>
      </c>
      <c r="O43" s="22">
        <v>0.72</v>
      </c>
      <c r="P43" s="22">
        <v>0.72</v>
      </c>
      <c r="Q43" s="22">
        <v>0.72</v>
      </c>
      <c r="R43" s="22">
        <v>0.72</v>
      </c>
      <c r="S43" s="22">
        <v>0.72</v>
      </c>
      <c r="T43" s="22">
        <v>0.72</v>
      </c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</row>
    <row r="44" spans="1:35" ht="14.25" customHeight="1" x14ac:dyDescent="0.45">
      <c r="B44" s="105" t="s">
        <v>141</v>
      </c>
      <c r="C44" s="104">
        <f>C28/IS!C5</f>
        <v>0.81737824243646828</v>
      </c>
      <c r="D44" s="104">
        <f>D28/IS!D5</f>
        <v>0.92337695017614496</v>
      </c>
      <c r="E44" s="104">
        <f>E28/IS!E5</f>
        <v>0.72457768593549787</v>
      </c>
      <c r="F44" s="104">
        <f>F28/IS!F5</f>
        <v>0.58999567691923138</v>
      </c>
      <c r="G44" s="59">
        <v>0.55000000000000004</v>
      </c>
      <c r="H44" s="22">
        <v>0.55000000000000004</v>
      </c>
      <c r="I44" s="22">
        <v>0.55000000000000004</v>
      </c>
      <c r="J44" s="22">
        <v>0.55000000000000004</v>
      </c>
      <c r="K44" s="22">
        <v>0.55000000000000004</v>
      </c>
      <c r="L44" s="22">
        <v>0.55000000000000004</v>
      </c>
      <c r="M44" s="22">
        <v>0.55000000000000004</v>
      </c>
      <c r="N44" s="22">
        <v>0.55000000000000004</v>
      </c>
      <c r="O44" s="22">
        <v>0.55000000000000004</v>
      </c>
      <c r="P44" s="22">
        <v>0.55000000000000004</v>
      </c>
      <c r="Q44" s="22">
        <v>0.55000000000000004</v>
      </c>
      <c r="R44" s="22">
        <v>0.55000000000000004</v>
      </c>
      <c r="S44" s="22">
        <v>0.55000000000000004</v>
      </c>
      <c r="T44" s="22">
        <v>0.55000000000000004</v>
      </c>
    </row>
    <row r="45" spans="1:35" ht="14.25" customHeight="1" x14ac:dyDescent="0.45">
      <c r="B45" s="106" t="s">
        <v>142</v>
      </c>
      <c r="C45" s="107">
        <f>C7/IS!C9*365</f>
        <v>19.122924610194822</v>
      </c>
      <c r="D45" s="107">
        <f>D7/IS!D9*365</f>
        <v>12.103551275506684</v>
      </c>
      <c r="E45" s="107">
        <f>E7/IS!E9*365</f>
        <v>5.7452737179583675</v>
      </c>
      <c r="F45" s="107">
        <f>F7/IS!F9*365</f>
        <v>7.9111185785693285</v>
      </c>
      <c r="G45" s="102">
        <v>8</v>
      </c>
      <c r="H45" s="103">
        <v>8</v>
      </c>
      <c r="I45" s="103">
        <v>8</v>
      </c>
      <c r="J45" s="103">
        <v>8</v>
      </c>
      <c r="K45" s="103">
        <v>8</v>
      </c>
      <c r="L45" s="103">
        <v>8</v>
      </c>
      <c r="M45" s="103">
        <v>8</v>
      </c>
      <c r="N45" s="103">
        <v>8</v>
      </c>
      <c r="O45" s="103">
        <v>8</v>
      </c>
      <c r="P45" s="103">
        <v>8</v>
      </c>
      <c r="Q45" s="103">
        <v>8</v>
      </c>
      <c r="R45" s="103">
        <v>8</v>
      </c>
      <c r="S45" s="103">
        <v>8</v>
      </c>
      <c r="T45" s="103">
        <v>8</v>
      </c>
    </row>
    <row r="46" spans="1:35" ht="14.25" customHeight="1" x14ac:dyDescent="0.45">
      <c r="B46" s="106" t="s">
        <v>143</v>
      </c>
      <c r="C46" s="108">
        <f>C8/IS!C5</f>
        <v>5.7834113290842738E-2</v>
      </c>
      <c r="D46" s="108">
        <f>D8/IS!D5</f>
        <v>7.1224032158396663E-2</v>
      </c>
      <c r="E46" s="108">
        <f>E8/IS!E5</f>
        <v>8.7820796260535294E-2</v>
      </c>
      <c r="F46" s="108">
        <f>F8/IS!F5</f>
        <v>0.11844861422088436</v>
      </c>
      <c r="G46" s="59">
        <v>0.115</v>
      </c>
      <c r="H46" s="22">
        <v>0.115</v>
      </c>
      <c r="I46" s="22">
        <v>0.115</v>
      </c>
      <c r="J46" s="22">
        <v>0.115</v>
      </c>
      <c r="K46" s="22">
        <v>0.115</v>
      </c>
      <c r="L46" s="22">
        <v>0.115</v>
      </c>
      <c r="M46" s="22">
        <v>0.115</v>
      </c>
      <c r="N46" s="22">
        <v>0.115</v>
      </c>
      <c r="O46" s="22">
        <v>0.115</v>
      </c>
      <c r="P46" s="22">
        <v>0.115</v>
      </c>
      <c r="Q46" s="22">
        <v>0.115</v>
      </c>
      <c r="R46" s="22">
        <v>0.115</v>
      </c>
      <c r="S46" s="22">
        <v>0.115</v>
      </c>
      <c r="T46" s="22">
        <v>0.115</v>
      </c>
    </row>
    <row r="47" spans="1:35" ht="14.25" customHeight="1" x14ac:dyDescent="0.45">
      <c r="B47" s="106" t="s">
        <v>144</v>
      </c>
      <c r="C47" s="108">
        <f>C9/IS!C5</f>
        <v>0.11470793689429645</v>
      </c>
      <c r="D47" s="108">
        <f>D9/IS!D5</f>
        <v>0.12746459582221145</v>
      </c>
      <c r="E47" s="108">
        <f>E9/IS!E5</f>
        <v>0.12215186161092963</v>
      </c>
      <c r="F47" s="108">
        <f>F9/IS!F5</f>
        <v>9.5422320924546666E-2</v>
      </c>
      <c r="G47" s="59">
        <v>9.5000000000000001E-2</v>
      </c>
      <c r="H47" s="22">
        <v>9.5000000000000001E-2</v>
      </c>
      <c r="I47" s="22">
        <v>9.5000000000000001E-2</v>
      </c>
      <c r="J47" s="22">
        <v>9.5000000000000001E-2</v>
      </c>
      <c r="K47" s="22">
        <v>9.5000000000000001E-2</v>
      </c>
      <c r="L47" s="22">
        <v>9.5000000000000001E-2</v>
      </c>
      <c r="M47" s="22">
        <v>9.5000000000000001E-2</v>
      </c>
      <c r="N47" s="22">
        <v>9.5000000000000001E-2</v>
      </c>
      <c r="O47" s="22">
        <v>9.5000000000000001E-2</v>
      </c>
      <c r="P47" s="22">
        <v>9.5000000000000001E-2</v>
      </c>
      <c r="Q47" s="22">
        <v>9.5000000000000001E-2</v>
      </c>
      <c r="R47" s="22">
        <v>9.5000000000000001E-2</v>
      </c>
      <c r="S47" s="22">
        <v>9.5000000000000001E-2</v>
      </c>
      <c r="T47" s="22">
        <v>9.5000000000000001E-2</v>
      </c>
    </row>
    <row r="48" spans="1:35" ht="14.25" customHeight="1" x14ac:dyDescent="0.45">
      <c r="B48" s="106" t="s">
        <v>145</v>
      </c>
      <c r="C48" s="107">
        <f>C22/IS!C9*365</f>
        <v>16.21317590954542</v>
      </c>
      <c r="D48" s="107">
        <f>D22/IS!D9*365</f>
        <v>17.290427836260537</v>
      </c>
      <c r="E48" s="107">
        <f>E22/IS!E9*365</f>
        <v>14.337774884477023</v>
      </c>
      <c r="F48" s="107">
        <f>F22/IS!F9*365</f>
        <v>21.365316541735243</v>
      </c>
      <c r="G48" s="102">
        <v>21</v>
      </c>
      <c r="H48" s="103">
        <v>21</v>
      </c>
      <c r="I48" s="103">
        <v>21</v>
      </c>
      <c r="J48" s="103">
        <v>21</v>
      </c>
      <c r="K48" s="103">
        <v>21</v>
      </c>
      <c r="L48" s="103">
        <v>21</v>
      </c>
      <c r="M48" s="103">
        <v>21</v>
      </c>
      <c r="N48" s="103">
        <v>21</v>
      </c>
      <c r="O48" s="103">
        <v>21</v>
      </c>
      <c r="P48" s="103">
        <v>21</v>
      </c>
      <c r="Q48" s="103">
        <v>21</v>
      </c>
      <c r="R48" s="103">
        <v>21</v>
      </c>
      <c r="S48" s="103">
        <v>21</v>
      </c>
      <c r="T48" s="103">
        <v>21</v>
      </c>
    </row>
    <row r="49" spans="2:20" ht="14.25" customHeight="1" x14ac:dyDescent="0.45">
      <c r="B49" s="106" t="s">
        <v>146</v>
      </c>
      <c r="C49" s="108">
        <f>C24/IS!C5</f>
        <v>0.18566434207652641</v>
      </c>
      <c r="D49" s="108">
        <f>D24/IS!D5</f>
        <v>0.19578844769482651</v>
      </c>
      <c r="E49" s="108">
        <f>E24/IS!E5</f>
        <v>0.18341108845133461</v>
      </c>
      <c r="F49" s="108">
        <f>F24/IS!F5</f>
        <v>0.17472843986928949</v>
      </c>
      <c r="G49" s="59">
        <v>0.17499999999999999</v>
      </c>
      <c r="H49" s="22">
        <v>0.17499999999999999</v>
      </c>
      <c r="I49" s="22">
        <v>0.17499999999999999</v>
      </c>
      <c r="J49" s="22">
        <v>0.17499999999999999</v>
      </c>
      <c r="K49" s="22">
        <v>0.17499999999999999</v>
      </c>
      <c r="L49" s="22">
        <v>0.17499999999999999</v>
      </c>
      <c r="M49" s="22">
        <v>0.17499999999999999</v>
      </c>
      <c r="N49" s="22">
        <v>0.17499999999999999</v>
      </c>
      <c r="O49" s="22">
        <v>0.17499999999999999</v>
      </c>
      <c r="P49" s="22">
        <v>0.17499999999999999</v>
      </c>
      <c r="Q49" s="22">
        <v>0.17499999999999999</v>
      </c>
      <c r="R49" s="22">
        <v>0.17499999999999999</v>
      </c>
      <c r="S49" s="22">
        <v>0.17499999999999999</v>
      </c>
      <c r="T49" s="22">
        <v>0.17499999999999999</v>
      </c>
    </row>
    <row r="50" spans="2:20" ht="14.25" customHeight="1" x14ac:dyDescent="0.45">
      <c r="B50" s="106" t="s">
        <v>147</v>
      </c>
      <c r="C50" s="108">
        <f>CFS!C6/IS!C5</f>
        <v>1.1593497371707132E-2</v>
      </c>
      <c r="D50" s="108">
        <f>CFS!D6/IS!D5</f>
        <v>9.1018837634497651E-3</v>
      </c>
      <c r="E50" s="108">
        <f>CFS!E6/IS!E5</f>
        <v>1.0308715641863235</v>
      </c>
      <c r="F50" s="108">
        <f>CFS!F6/IS!F5</f>
        <v>0.25024787435866069</v>
      </c>
      <c r="G50" s="59">
        <v>0.22</v>
      </c>
      <c r="H50" s="22">
        <v>0.19</v>
      </c>
      <c r="I50" s="22">
        <v>0.16</v>
      </c>
      <c r="J50" s="22">
        <v>0.14000000000000001</v>
      </c>
      <c r="K50" s="22">
        <v>0.13</v>
      </c>
      <c r="L50" s="22">
        <v>0.12</v>
      </c>
      <c r="M50" s="22">
        <v>0.11</v>
      </c>
      <c r="N50" s="22">
        <v>0.1</v>
      </c>
      <c r="O50" s="22">
        <v>0.1</v>
      </c>
      <c r="P50" s="22">
        <v>0.1</v>
      </c>
      <c r="Q50" s="22">
        <v>9.5000000000000001E-2</v>
      </c>
      <c r="R50" s="22">
        <v>0.09</v>
      </c>
      <c r="S50" s="22">
        <v>0.09</v>
      </c>
      <c r="T50" s="22">
        <v>0.09</v>
      </c>
    </row>
  </sheetData>
  <mergeCells count="1">
    <mergeCell ref="B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1"/>
  <sheetViews>
    <sheetView showGridLines="0" zoomScale="82" zoomScaleNormal="82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7" sqref="G17"/>
    </sheetView>
  </sheetViews>
  <sheetFormatPr defaultColWidth="8.6640625" defaultRowHeight="14.25" x14ac:dyDescent="0.45"/>
  <cols>
    <col min="1" max="1" width="2.46484375" customWidth="1"/>
    <col min="2" max="2" width="39.46484375" customWidth="1"/>
    <col min="3" max="20" width="13" customWidth="1"/>
  </cols>
  <sheetData>
    <row r="1" spans="1:20" ht="15.75" customHeight="1" x14ac:dyDescent="0.45">
      <c r="A1" s="27"/>
      <c r="B1" s="156" t="s">
        <v>148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0" ht="14.25" customHeight="1" x14ac:dyDescent="0.45">
      <c r="A2" s="28"/>
      <c r="B2" s="29"/>
      <c r="C2" s="30" t="s">
        <v>52</v>
      </c>
      <c r="D2" s="30" t="s">
        <v>53</v>
      </c>
      <c r="E2" s="30" t="s">
        <v>54</v>
      </c>
      <c r="F2" s="30" t="s">
        <v>55</v>
      </c>
      <c r="G2" s="31" t="s">
        <v>56</v>
      </c>
      <c r="H2" s="30" t="s">
        <v>57</v>
      </c>
      <c r="I2" s="30" t="s">
        <v>58</v>
      </c>
      <c r="J2" s="30" t="s">
        <v>59</v>
      </c>
      <c r="K2" s="30" t="s">
        <v>60</v>
      </c>
      <c r="L2" s="30" t="s">
        <v>61</v>
      </c>
      <c r="M2" s="30" t="s">
        <v>62</v>
      </c>
      <c r="N2" s="30" t="s">
        <v>63</v>
      </c>
      <c r="O2" s="30" t="s">
        <v>64</v>
      </c>
      <c r="P2" s="30" t="s">
        <v>65</v>
      </c>
      <c r="Q2" s="30" t="s">
        <v>66</v>
      </c>
      <c r="R2" s="30" t="s">
        <v>67</v>
      </c>
      <c r="S2" s="30" t="s">
        <v>68</v>
      </c>
      <c r="T2" s="30" t="s">
        <v>69</v>
      </c>
    </row>
    <row r="3" spans="1:20" s="47" customFormat="1" ht="14.25" customHeight="1" x14ac:dyDescent="0.45">
      <c r="A3" s="32"/>
      <c r="B3" s="1" t="s">
        <v>149</v>
      </c>
      <c r="C3" s="32"/>
      <c r="D3" s="32"/>
      <c r="E3" s="32"/>
      <c r="F3" s="32"/>
      <c r="G3" s="64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4.25" customHeight="1" x14ac:dyDescent="0.45">
      <c r="A4" s="33"/>
      <c r="B4" s="70" t="s">
        <v>93</v>
      </c>
      <c r="C4" s="69">
        <f>IS!C28</f>
        <v>-277746</v>
      </c>
      <c r="D4" s="69">
        <f>IS!D28</f>
        <v>-354158</v>
      </c>
      <c r="E4" s="69">
        <f>IS!E28</f>
        <v>-1154820</v>
      </c>
      <c r="F4" s="69">
        <f>IS!F28</f>
        <v>-348828</v>
      </c>
      <c r="G4" s="68">
        <f>IS!G28</f>
        <v>-292339.18300999986</v>
      </c>
      <c r="H4" s="69">
        <f>IS!H28</f>
        <v>-127718.96282879978</v>
      </c>
      <c r="I4" s="69">
        <f>IS!I28</f>
        <v>101054.82848384001</v>
      </c>
      <c r="J4" s="69">
        <f>IS!J28</f>
        <v>357832.68290936283</v>
      </c>
      <c r="K4" s="69">
        <f>IS!K28</f>
        <v>610552.0152141006</v>
      </c>
      <c r="L4" s="69">
        <f>IS!L28</f>
        <v>813568.38786272798</v>
      </c>
      <c r="M4" s="69">
        <f>IS!M28</f>
        <v>1017832.165243977</v>
      </c>
      <c r="N4" s="69">
        <f>IS!N28</f>
        <v>1209906.9448142122</v>
      </c>
      <c r="O4" s="69">
        <f>IS!O28</f>
        <v>1379835.6664664759</v>
      </c>
      <c r="P4" s="69">
        <f>IS!P28</f>
        <v>1528594.628247014</v>
      </c>
      <c r="Q4" s="69">
        <f>IS!Q28</f>
        <v>1675610.9989773934</v>
      </c>
      <c r="R4" s="69">
        <f>IS!R28</f>
        <v>1788424.4127699304</v>
      </c>
      <c r="S4" s="69">
        <f>IS!S28</f>
        <v>1890155.5676781421</v>
      </c>
      <c r="T4" s="69">
        <f>IS!T28</f>
        <v>1987561.9871882005</v>
      </c>
    </row>
    <row r="5" spans="1:20" ht="14.25" customHeight="1" x14ac:dyDescent="0.45">
      <c r="A5" s="33"/>
      <c r="B5" s="70" t="s">
        <v>86</v>
      </c>
      <c r="C5" s="69">
        <f>IS!C21</f>
        <v>22366</v>
      </c>
      <c r="D5" s="69">
        <f>IS!D21</f>
        <v>24305</v>
      </c>
      <c r="E5" s="69">
        <f>IS!E21</f>
        <v>28868</v>
      </c>
      <c r="F5" s="69">
        <f>IS!F21</f>
        <v>37115</v>
      </c>
      <c r="G5" s="68">
        <f>IS!G21</f>
        <v>45513.88478</v>
      </c>
      <c r="H5" s="69">
        <f>IS!H21</f>
        <v>49295.038284799994</v>
      </c>
      <c r="I5" s="69">
        <f>IS!I21</f>
        <v>56017.088960000001</v>
      </c>
      <c r="J5" s="69">
        <f>IS!J21</f>
        <v>61506.763678079988</v>
      </c>
      <c r="K5" s="69">
        <f>IS!K21</f>
        <v>73193.04877691518</v>
      </c>
      <c r="L5" s="69">
        <f>IS!L21</f>
        <v>84903.936581221613</v>
      </c>
      <c r="M5" s="69">
        <f>IS!M21</f>
        <v>95941.448336780406</v>
      </c>
      <c r="N5" s="69">
        <f>IS!N21</f>
        <v>105535.59317045847</v>
      </c>
      <c r="O5" s="69">
        <f>IS!O21</f>
        <v>113978.44062409515</v>
      </c>
      <c r="P5" s="69">
        <f>IS!P21</f>
        <v>121956.93146778183</v>
      </c>
      <c r="Q5" s="69">
        <f>IS!Q21</f>
        <v>129274.34735584875</v>
      </c>
      <c r="R5" s="69">
        <f>IS!R21</f>
        <v>135738.0647236412</v>
      </c>
      <c r="S5" s="69">
        <f>IS!S21</f>
        <v>141167.58731258687</v>
      </c>
      <c r="T5" s="69">
        <f>IS!T21</f>
        <v>146108.45286852738</v>
      </c>
    </row>
    <row r="6" spans="1:20" ht="14.25" customHeight="1" x14ac:dyDescent="0.45">
      <c r="A6" s="33"/>
      <c r="B6" s="67" t="s">
        <v>150</v>
      </c>
      <c r="C6" s="35">
        <v>6954</v>
      </c>
      <c r="D6" s="35">
        <v>5715</v>
      </c>
      <c r="E6" s="35">
        <v>913913</v>
      </c>
      <c r="F6" s="35">
        <v>329374</v>
      </c>
      <c r="G6" s="68">
        <f>IS!G5*BS!G50</f>
        <v>385117.4866</v>
      </c>
      <c r="H6" s="69">
        <f>IS!H5*BS!H50</f>
        <v>425729.87609600002</v>
      </c>
      <c r="I6" s="69">
        <f>IS!I5*BS!I50</f>
        <v>448136.71168000001</v>
      </c>
      <c r="J6" s="69">
        <f>IS!J5*BS!J50</f>
        <v>478385.93971840001</v>
      </c>
      <c r="K6" s="69">
        <f>IS!K5*BS!K50</f>
        <v>528616.46338883194</v>
      </c>
      <c r="L6" s="69">
        <f>IS!L5*BS!L50</f>
        <v>566026.24387481075</v>
      </c>
      <c r="M6" s="69">
        <f>IS!M5*BS!M50</f>
        <v>586308.85094699147</v>
      </c>
      <c r="N6" s="69">
        <f>IS!N5*BS!N50</f>
        <v>586308.85094699159</v>
      </c>
      <c r="O6" s="69">
        <f>IS!O5*BS!O50</f>
        <v>633213.55902275094</v>
      </c>
      <c r="P6" s="69">
        <f>IS!P5*BS!P50</f>
        <v>677538.50815434358</v>
      </c>
      <c r="Q6" s="69">
        <f>IS!Q5*BS!Q50</f>
        <v>682281.27771142405</v>
      </c>
      <c r="R6" s="69">
        <f>IS!R5*BS!R50</f>
        <v>678690.32361820596</v>
      </c>
      <c r="S6" s="69">
        <f>IS!S5*BS!S50</f>
        <v>705837.93656293431</v>
      </c>
      <c r="T6" s="69">
        <f>IS!T5*BS!T50</f>
        <v>730542.26434263692</v>
      </c>
    </row>
    <row r="7" spans="1:20" ht="14.25" customHeight="1" x14ac:dyDescent="0.45">
      <c r="A7" s="33"/>
      <c r="B7" s="67" t="s">
        <v>151</v>
      </c>
      <c r="C7" s="35">
        <v>93205</v>
      </c>
      <c r="D7" s="35">
        <v>85748</v>
      </c>
      <c r="E7" s="35">
        <v>118551</v>
      </c>
      <c r="F7" s="35">
        <v>117070</v>
      </c>
      <c r="G7" s="109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0" ht="14.25" customHeight="1" x14ac:dyDescent="0.45">
      <c r="A8" s="33"/>
      <c r="B8" s="70" t="s">
        <v>152</v>
      </c>
      <c r="C8" s="35">
        <v>338819</v>
      </c>
      <c r="D8" s="35">
        <v>299752</v>
      </c>
      <c r="E8" s="35">
        <v>313244</v>
      </c>
      <c r="F8" s="35">
        <v>425796</v>
      </c>
      <c r="G8" s="68">
        <f>(BS!G28+BS!G23)-(BS!F28+BS!F23)</f>
        <v>377877.21810000017</v>
      </c>
      <c r="H8" s="69">
        <f>(BS!H28+BS!H23)-(BS!G28+BS!G23)</f>
        <v>622489.90106800012</v>
      </c>
      <c r="I8" s="69">
        <f>(BS!I28+BS!I23)-(BS!H28+BS!H23)</f>
        <v>711417.02979199961</v>
      </c>
      <c r="J8" s="69">
        <f>(BS!J28+BS!J23)-(BS!I28+BS!I23)</f>
        <v>782558.73277120013</v>
      </c>
      <c r="K8" s="69">
        <f>(BS!K28+BS!K23)-(BS!J28+BS!J23)</f>
        <v>824532.33752892632</v>
      </c>
      <c r="L8" s="69">
        <f>(BS!L28+BS!L23)-(BS!K28+BS!K23)</f>
        <v>826268.19508162141</v>
      </c>
      <c r="M8" s="69">
        <f>(BS!M28+BS!M23)-(BS!L28+BS!L23)</f>
        <v>778757.77386442665</v>
      </c>
      <c r="N8" s="69">
        <f>(BS!N28+BS!N23)-(BS!M28+BS!M23)</f>
        <v>676920.21882061753</v>
      </c>
      <c r="O8" s="69">
        <f>(BS!O28+BS!O23)-(BS!N28+BS!N23)</f>
        <v>595689.79256214388</v>
      </c>
      <c r="P8" s="69">
        <f>(BS!P28+BS!P23)-(BS!O28+BS!O23)</f>
        <v>562926.85397122614</v>
      </c>
      <c r="Q8" s="69">
        <f>(BS!Q28+BS!Q23)-(BS!P28+BS!P23)</f>
        <v>516284.34321361221</v>
      </c>
      <c r="R8" s="69">
        <f>(BS!R28+BS!R23)-(BS!Q28+BS!Q23)</f>
        <v>456051.16983868927</v>
      </c>
      <c r="S8" s="69">
        <f>(BS!S28+BS!S23)-(BS!R28+BS!R23)</f>
        <v>383082.98266449943</v>
      </c>
      <c r="T8" s="69">
        <f>(BS!T28+BS!T23)-(BS!S28+BS!S23)</f>
        <v>348605.51422469318</v>
      </c>
    </row>
    <row r="9" spans="1:20" ht="14.25" customHeight="1" x14ac:dyDescent="0.45">
      <c r="A9" s="33"/>
      <c r="B9" s="70" t="s">
        <v>153</v>
      </c>
      <c r="C9" s="35">
        <v>-164311</v>
      </c>
      <c r="D9" s="35">
        <v>-65880</v>
      </c>
      <c r="E9" s="35">
        <v>-171528</v>
      </c>
      <c r="F9" s="35">
        <v>-277619</v>
      </c>
      <c r="G9" s="68">
        <f>-(BS!G6-BS!F6)-(BS!G7-BS!F7)-(BS!G8-BS!F8)-(BS!G9-BS!F9)+(BS!G22-BS!F22)+(BS!G24-BS!F24)</f>
        <v>-91625.955932191835</v>
      </c>
      <c r="H9" s="69">
        <f>-(BS!H6-BS!G6)-(BS!H7-BS!G7)-(BS!H8-BS!G8)-(BS!H9-BS!G9)+(BS!H22-BS!G22)+(BS!H24-BS!G24)</f>
        <v>-110749.81350018084</v>
      </c>
      <c r="I9" s="69">
        <f>-(BS!I6-BS!H6)-(BS!I7-BS!H7)-(BS!I8-BS!H8)-(BS!I9-BS!H9)+(BS!I22-BS!H22)+(BS!I24-BS!H24)</f>
        <v>-126713.72465705196</v>
      </c>
      <c r="J9" s="69">
        <f>-(BS!J6-BS!I6)-(BS!J7-BS!I7)-(BS!J8-BS!I8)-(BS!J9-BS!I9)+(BS!J22-BS!I22)+(BS!J24-BS!I24)</f>
        <v>-139554.68310440317</v>
      </c>
      <c r="K9" s="69">
        <f>-(BS!K6-BS!J6)-(BS!K7-BS!J7)-(BS!K8-BS!J8)-(BS!K9-BS!J9)+(BS!K22-BS!J22)+(BS!K24-BS!J24)</f>
        <v>-147238.48580845591</v>
      </c>
      <c r="L9" s="69">
        <f>-(BS!L6-BS!K6)-(BS!L7-BS!K7)-(BS!L8-BS!K8)-(BS!L9-BS!K9)+(BS!L22-BS!K22)+(BS!L24-BS!K24)</f>
        <v>-146938.66608036531</v>
      </c>
      <c r="M9" s="69">
        <f>-(BS!M6-BS!L6)-(BS!M7-BS!L7)-(BS!M8-BS!L8)-(BS!M9-BS!L9)+(BS!M22-BS!L22)+(BS!M24-BS!L24)</f>
        <v>-138489.69278074423</v>
      </c>
      <c r="N9" s="69">
        <f>-(BS!N6-BS!M6)-(BS!N7-BS!M7)-(BS!N8-BS!M8)-(BS!N9-BS!M9)+(BS!N22-BS!M22)+(BS!N24-BS!M24)</f>
        <v>-120379.50218633946</v>
      </c>
      <c r="O9" s="69">
        <f>-(BS!O6-BS!N6)-(BS!O7-BS!N7)-(BS!O8-BS!N8)-(BS!O9-BS!N9)+(BS!O22-BS!N22)+(BS!O24-BS!N24)</f>
        <v>-105933.96192397884</v>
      </c>
      <c r="P9" s="69">
        <f>-(BS!P6-BS!O6)-(BS!P7-BS!O7)-(BS!P8-BS!O8)-(BS!P9-BS!O9)+(BS!P22-BS!O22)+(BS!P24-BS!O24)</f>
        <v>-100107.59401815993</v>
      </c>
      <c r="Q9" s="69">
        <f>-(BS!Q6-BS!P6)-(BS!Q7-BS!P7)-(BS!Q8-BS!P8)-(BS!Q9-BS!P9)+(BS!Q22-BS!P22)+(BS!Q24-BS!P24)</f>
        <v>-91812.964799512789</v>
      </c>
      <c r="R9" s="69">
        <f>-(BS!R6-BS!Q6)-(BS!R7-BS!Q7)-(BS!R8-BS!Q8)-(BS!R9-BS!Q9)+(BS!R22-BS!Q22)+(BS!R24-BS!Q24)</f>
        <v>-81101.45223956916</v>
      </c>
      <c r="S9" s="69">
        <f>-(BS!S6-BS!R6)-(BS!S7-BS!R7)-(BS!S8-BS!R8)-(BS!S9-BS!R9)+(BS!S22-BS!R22)+(BS!S24-BS!R24)</f>
        <v>-68125.219881238314</v>
      </c>
      <c r="T9" s="69">
        <f>-(BS!T6-BS!S6)-(BS!T7-BS!S7)-(BS!T8-BS!S8)-(BS!T9-BS!S9)+(BS!T22-BS!S22)+(BS!T24-BS!S24)</f>
        <v>-61993.95009192641</v>
      </c>
    </row>
    <row r="10" spans="1:20" ht="14.25" customHeight="1" x14ac:dyDescent="0.45">
      <c r="A10" s="33"/>
      <c r="B10" s="76" t="s">
        <v>154</v>
      </c>
      <c r="C10" s="77">
        <f t="shared" ref="C10:T10" si="0">SUM(C4:C9)</f>
        <v>19287</v>
      </c>
      <c r="D10" s="77">
        <f t="shared" si="0"/>
        <v>-4518</v>
      </c>
      <c r="E10" s="77">
        <f t="shared" si="0"/>
        <v>48228</v>
      </c>
      <c r="F10" s="77">
        <f t="shared" si="0"/>
        <v>282908</v>
      </c>
      <c r="G10" s="78">
        <f t="shared" si="0"/>
        <v>424543.45053780847</v>
      </c>
      <c r="H10" s="77">
        <f t="shared" si="0"/>
        <v>859046.03911981953</v>
      </c>
      <c r="I10" s="77">
        <f t="shared" si="0"/>
        <v>1189911.9342587877</v>
      </c>
      <c r="J10" s="77">
        <f t="shared" si="0"/>
        <v>1540729.4359726398</v>
      </c>
      <c r="K10" s="77">
        <f t="shared" si="0"/>
        <v>1889655.3791003181</v>
      </c>
      <c r="L10" s="77">
        <f t="shared" si="0"/>
        <v>2143828.0973200165</v>
      </c>
      <c r="M10" s="77">
        <f t="shared" si="0"/>
        <v>2340350.5456114309</v>
      </c>
      <c r="N10" s="77">
        <f t="shared" si="0"/>
        <v>2458292.1055659405</v>
      </c>
      <c r="O10" s="77">
        <f t="shared" si="0"/>
        <v>2616783.4967514868</v>
      </c>
      <c r="P10" s="77">
        <f t="shared" si="0"/>
        <v>2790909.3278222056</v>
      </c>
      <c r="Q10" s="77">
        <f t="shared" si="0"/>
        <v>2911638.0024587656</v>
      </c>
      <c r="R10" s="77">
        <f t="shared" si="0"/>
        <v>2977802.5187108973</v>
      </c>
      <c r="S10" s="77">
        <f t="shared" si="0"/>
        <v>3052118.8543369244</v>
      </c>
      <c r="T10" s="77">
        <f t="shared" si="0"/>
        <v>3150824.2685321313</v>
      </c>
    </row>
    <row r="11" spans="1:20" ht="14.25" customHeight="1" x14ac:dyDescent="0.45">
      <c r="A11" s="33"/>
      <c r="B11" s="33"/>
      <c r="C11" s="33"/>
      <c r="D11" s="33"/>
      <c r="E11" s="33"/>
      <c r="F11" s="33"/>
      <c r="G11" s="46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</row>
    <row r="12" spans="1:20" ht="14.25" customHeight="1" x14ac:dyDescent="0.45">
      <c r="A12" s="32"/>
      <c r="B12" s="1" t="s">
        <v>155</v>
      </c>
      <c r="C12" s="32"/>
      <c r="D12" s="32"/>
      <c r="E12" s="32"/>
      <c r="F12" s="32"/>
      <c r="G12" s="64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spans="1:20" ht="14.25" customHeight="1" x14ac:dyDescent="0.45">
      <c r="A13" s="33"/>
      <c r="B13" s="70" t="s">
        <v>156</v>
      </c>
      <c r="C13" s="35">
        <v>-25017</v>
      </c>
      <c r="D13" s="35">
        <v>-12333</v>
      </c>
      <c r="E13" s="35">
        <v>-16885</v>
      </c>
      <c r="F13" s="35">
        <v>-29631</v>
      </c>
      <c r="G13" s="68">
        <f>-IS!G5*BS!G42</f>
        <v>-35010.6806</v>
      </c>
      <c r="H13" s="69">
        <f>-IS!H5*BS!H42</f>
        <v>-44813.671168000001</v>
      </c>
      <c r="I13" s="69">
        <f>-IS!I5*BS!I42</f>
        <v>-56017.088960000001</v>
      </c>
      <c r="J13" s="69">
        <f>-IS!J5*BS!J42</f>
        <v>-68340.848531199998</v>
      </c>
      <c r="K13" s="69">
        <f>-IS!K5*BS!K42</f>
        <v>-81325.609752127988</v>
      </c>
      <c r="L13" s="69">
        <f>-IS!L5*BS!L42</f>
        <v>-94337.707312468454</v>
      </c>
      <c r="M13" s="69">
        <f>-IS!M5*BS!M42</f>
        <v>-106601.60926308935</v>
      </c>
      <c r="N13" s="69">
        <f>-IS!N5*BS!N42</f>
        <v>-117261.7701893983</v>
      </c>
      <c r="O13" s="69">
        <f>-IS!O5*BS!O42</f>
        <v>-126642.71180455018</v>
      </c>
      <c r="P13" s="69">
        <f>-IS!P5*BS!P42</f>
        <v>-135507.70163086872</v>
      </c>
      <c r="Q13" s="69">
        <f>-IS!Q5*BS!Q42</f>
        <v>-143638.16372872086</v>
      </c>
      <c r="R13" s="69">
        <f>-IS!R5*BS!R42</f>
        <v>-150820.07191515691</v>
      </c>
      <c r="S13" s="69">
        <f>-IS!S5*BS!S42</f>
        <v>-156852.8747917632</v>
      </c>
      <c r="T13" s="69">
        <f>-IS!T5*BS!T42</f>
        <v>-162342.72540947489</v>
      </c>
    </row>
    <row r="14" spans="1:20" ht="14.25" customHeight="1" x14ac:dyDescent="0.45">
      <c r="A14" s="33"/>
      <c r="B14" s="67" t="s">
        <v>157</v>
      </c>
      <c r="C14" s="110"/>
      <c r="D14" s="35">
        <v>-90328</v>
      </c>
      <c r="E14" s="110"/>
      <c r="F14" s="35">
        <v>-21259</v>
      </c>
      <c r="G14" s="109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0" ht="14.25" customHeight="1" x14ac:dyDescent="0.45">
      <c r="A15" s="33"/>
      <c r="B15" s="70" t="s">
        <v>158</v>
      </c>
      <c r="C15" s="35">
        <v>-9281</v>
      </c>
      <c r="D15" s="35">
        <v>-7675</v>
      </c>
      <c r="E15" s="35">
        <v>-9714</v>
      </c>
      <c r="F15" s="35">
        <v>-15437</v>
      </c>
      <c r="G15" s="109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0" ht="14.25" customHeight="1" x14ac:dyDescent="0.45">
      <c r="A16" s="33"/>
      <c r="B16" s="67" t="s">
        <v>159</v>
      </c>
      <c r="C16" s="35">
        <v>-90890</v>
      </c>
      <c r="D16" s="35">
        <v>16713</v>
      </c>
      <c r="E16" s="35">
        <v>-356843</v>
      </c>
      <c r="F16" s="35">
        <v>-763762</v>
      </c>
      <c r="G16" s="109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14.25" customHeight="1" x14ac:dyDescent="0.45">
      <c r="A17" s="33"/>
      <c r="B17" s="76" t="s">
        <v>160</v>
      </c>
      <c r="C17" s="77">
        <f t="shared" ref="C17:T17" si="1">SUM(C13:C16)</f>
        <v>-125188</v>
      </c>
      <c r="D17" s="77">
        <f t="shared" si="1"/>
        <v>-93623</v>
      </c>
      <c r="E17" s="77">
        <f t="shared" si="1"/>
        <v>-383442</v>
      </c>
      <c r="F17" s="77">
        <f t="shared" si="1"/>
        <v>-830089</v>
      </c>
      <c r="G17" s="78">
        <f t="shared" si="1"/>
        <v>-35010.6806</v>
      </c>
      <c r="H17" s="77">
        <f t="shared" si="1"/>
        <v>-44813.671168000001</v>
      </c>
      <c r="I17" s="77">
        <f t="shared" si="1"/>
        <v>-56017.088960000001</v>
      </c>
      <c r="J17" s="77">
        <f t="shared" si="1"/>
        <v>-68340.848531199998</v>
      </c>
      <c r="K17" s="77">
        <f t="shared" si="1"/>
        <v>-81325.609752127988</v>
      </c>
      <c r="L17" s="77">
        <f t="shared" si="1"/>
        <v>-94337.707312468454</v>
      </c>
      <c r="M17" s="77">
        <f t="shared" si="1"/>
        <v>-106601.60926308935</v>
      </c>
      <c r="N17" s="77">
        <f t="shared" si="1"/>
        <v>-117261.7701893983</v>
      </c>
      <c r="O17" s="77">
        <f t="shared" si="1"/>
        <v>-126642.71180455018</v>
      </c>
      <c r="P17" s="77">
        <f t="shared" si="1"/>
        <v>-135507.70163086872</v>
      </c>
      <c r="Q17" s="77">
        <f t="shared" si="1"/>
        <v>-143638.16372872086</v>
      </c>
      <c r="R17" s="77">
        <f t="shared" si="1"/>
        <v>-150820.07191515691</v>
      </c>
      <c r="S17" s="77">
        <f t="shared" si="1"/>
        <v>-156852.8747917632</v>
      </c>
      <c r="T17" s="77">
        <f t="shared" si="1"/>
        <v>-162342.72540947489</v>
      </c>
    </row>
    <row r="18" spans="1:20" ht="14.25" customHeight="1" x14ac:dyDescent="0.45">
      <c r="A18" s="33"/>
      <c r="B18" s="33"/>
      <c r="C18" s="33"/>
      <c r="D18" s="33"/>
      <c r="E18" s="33"/>
      <c r="F18" s="33"/>
      <c r="G18" s="46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</row>
    <row r="19" spans="1:20" ht="14.25" customHeight="1" x14ac:dyDescent="0.45">
      <c r="A19" s="32"/>
      <c r="B19" s="1" t="s">
        <v>161</v>
      </c>
      <c r="C19" s="32"/>
      <c r="D19" s="32"/>
      <c r="E19" s="32"/>
      <c r="F19" s="32"/>
      <c r="G19" s="64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spans="1:20" ht="14.25" customHeight="1" x14ac:dyDescent="0.45">
      <c r="A20" s="33"/>
      <c r="B20" s="70" t="s">
        <v>162</v>
      </c>
      <c r="C20" s="35">
        <v>171463</v>
      </c>
      <c r="D20" s="35">
        <v>96525</v>
      </c>
      <c r="E20" s="111">
        <v>0</v>
      </c>
      <c r="F20" s="35">
        <v>800229</v>
      </c>
      <c r="G20" s="109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14.25" customHeight="1" x14ac:dyDescent="0.45">
      <c r="A21" s="33"/>
      <c r="B21" s="112" t="s">
        <v>163</v>
      </c>
      <c r="C21" s="35">
        <v>3810</v>
      </c>
      <c r="D21" s="35">
        <v>3383</v>
      </c>
      <c r="E21" s="111">
        <v>402276</v>
      </c>
      <c r="F21" s="35">
        <v>26725</v>
      </c>
      <c r="G21" s="109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14.25" customHeight="1" x14ac:dyDescent="0.45">
      <c r="A22" s="33"/>
      <c r="B22" s="112" t="s">
        <v>164</v>
      </c>
      <c r="C22" s="35">
        <v>-3450</v>
      </c>
      <c r="D22" s="35">
        <v>-3959</v>
      </c>
      <c r="E22" s="111">
        <v>-4253</v>
      </c>
      <c r="F22" s="35">
        <v>-90453</v>
      </c>
      <c r="G22" s="109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 ht="14.25" customHeight="1" x14ac:dyDescent="0.45">
      <c r="A23" s="38"/>
      <c r="B23" s="113" t="s">
        <v>165</v>
      </c>
      <c r="C23" s="77">
        <f t="shared" ref="C23:T23" si="2">SUM(C20:C22)</f>
        <v>171823</v>
      </c>
      <c r="D23" s="77">
        <f t="shared" si="2"/>
        <v>95949</v>
      </c>
      <c r="E23" s="77">
        <f t="shared" si="2"/>
        <v>398023</v>
      </c>
      <c r="F23" s="77">
        <f t="shared" si="2"/>
        <v>736501</v>
      </c>
      <c r="G23" s="78">
        <f t="shared" si="2"/>
        <v>0</v>
      </c>
      <c r="H23" s="77">
        <f t="shared" si="2"/>
        <v>0</v>
      </c>
      <c r="I23" s="77">
        <f t="shared" si="2"/>
        <v>0</v>
      </c>
      <c r="J23" s="77">
        <f t="shared" si="2"/>
        <v>0</v>
      </c>
      <c r="K23" s="77">
        <f t="shared" si="2"/>
        <v>0</v>
      </c>
      <c r="L23" s="77">
        <f t="shared" si="2"/>
        <v>0</v>
      </c>
      <c r="M23" s="77">
        <f t="shared" si="2"/>
        <v>0</v>
      </c>
      <c r="N23" s="77">
        <f t="shared" si="2"/>
        <v>0</v>
      </c>
      <c r="O23" s="77">
        <f t="shared" si="2"/>
        <v>0</v>
      </c>
      <c r="P23" s="77">
        <f t="shared" si="2"/>
        <v>0</v>
      </c>
      <c r="Q23" s="77">
        <f t="shared" si="2"/>
        <v>0</v>
      </c>
      <c r="R23" s="77">
        <f t="shared" si="2"/>
        <v>0</v>
      </c>
      <c r="S23" s="77">
        <f t="shared" si="2"/>
        <v>0</v>
      </c>
      <c r="T23" s="77">
        <f t="shared" si="2"/>
        <v>0</v>
      </c>
    </row>
    <row r="24" spans="1:20" ht="14.25" customHeight="1" x14ac:dyDescent="0.45">
      <c r="A24" s="33"/>
      <c r="B24" s="112" t="s">
        <v>166</v>
      </c>
      <c r="C24" s="35">
        <v>-1009</v>
      </c>
      <c r="D24" s="35">
        <v>-1355</v>
      </c>
      <c r="E24" s="111">
        <v>-6274</v>
      </c>
      <c r="F24" s="35">
        <v>9826</v>
      </c>
      <c r="G24" s="109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14.25" customHeight="1" x14ac:dyDescent="0.45">
      <c r="A25" s="51"/>
      <c r="B25" s="52" t="s">
        <v>167</v>
      </c>
      <c r="C25" s="114">
        <f t="shared" ref="C25:T25" si="3">C24+C10+C17+C23</f>
        <v>64913</v>
      </c>
      <c r="D25" s="114">
        <f t="shared" si="3"/>
        <v>-3547</v>
      </c>
      <c r="E25" s="114">
        <f t="shared" si="3"/>
        <v>56535</v>
      </c>
      <c r="F25" s="114">
        <f t="shared" si="3"/>
        <v>199146</v>
      </c>
      <c r="G25" s="115">
        <f t="shared" si="3"/>
        <v>389532.76993780845</v>
      </c>
      <c r="H25" s="114">
        <f t="shared" si="3"/>
        <v>814232.36795181956</v>
      </c>
      <c r="I25" s="114">
        <f t="shared" si="3"/>
        <v>1133894.8452987876</v>
      </c>
      <c r="J25" s="114">
        <f t="shared" si="3"/>
        <v>1472388.5874414397</v>
      </c>
      <c r="K25" s="114">
        <f t="shared" si="3"/>
        <v>1808329.7693481902</v>
      </c>
      <c r="L25" s="114">
        <f t="shared" si="3"/>
        <v>2049490.390007548</v>
      </c>
      <c r="M25" s="114">
        <f t="shared" si="3"/>
        <v>2233748.9363483414</v>
      </c>
      <c r="N25" s="114">
        <f t="shared" si="3"/>
        <v>2341030.3353765421</v>
      </c>
      <c r="O25" s="114">
        <f t="shared" si="3"/>
        <v>2490140.7849469366</v>
      </c>
      <c r="P25" s="114">
        <f t="shared" si="3"/>
        <v>2655401.6261913367</v>
      </c>
      <c r="Q25" s="114">
        <f t="shared" si="3"/>
        <v>2767999.8387300447</v>
      </c>
      <c r="R25" s="114">
        <f t="shared" si="3"/>
        <v>2826982.4467957402</v>
      </c>
      <c r="S25" s="114">
        <f t="shared" si="3"/>
        <v>2895265.9795451611</v>
      </c>
      <c r="T25" s="114">
        <f t="shared" si="3"/>
        <v>2988481.5431226566</v>
      </c>
    </row>
    <row r="30" spans="1:20" ht="14.25" customHeight="1" x14ac:dyDescent="0.45">
      <c r="F30" s="70"/>
      <c r="G30" s="110"/>
      <c r="H30" s="110"/>
      <c r="I30" s="110"/>
      <c r="J30" s="110"/>
    </row>
    <row r="31" spans="1:20" ht="14.25" customHeight="1" x14ac:dyDescent="0.45">
      <c r="G31" s="67"/>
      <c r="H31" s="110"/>
      <c r="I31" s="110"/>
      <c r="J31" s="110"/>
      <c r="K31" s="110"/>
    </row>
  </sheetData>
  <mergeCells count="1">
    <mergeCell ref="B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showGridLines="0" zoomScale="106" zoomScaleNormal="106" workbookViewId="0">
      <selection activeCell="E10" sqref="E10"/>
    </sheetView>
  </sheetViews>
  <sheetFormatPr defaultColWidth="8.6640625" defaultRowHeight="14.25" x14ac:dyDescent="0.45"/>
  <cols>
    <col min="1" max="1" width="2.46484375" customWidth="1"/>
    <col min="2" max="2" width="28.3984375" customWidth="1"/>
    <col min="3" max="3" width="16" customWidth="1"/>
    <col min="4" max="4" width="3" customWidth="1"/>
    <col min="5" max="5" width="30" customWidth="1"/>
  </cols>
  <sheetData>
    <row r="1" spans="1:5" ht="15.75" customHeight="1" x14ac:dyDescent="0.45">
      <c r="A1" s="2"/>
      <c r="B1" s="160" t="s">
        <v>168</v>
      </c>
      <c r="C1" s="160"/>
      <c r="D1" s="160"/>
      <c r="E1" s="160"/>
    </row>
    <row r="3" spans="1:5" ht="14.25" customHeight="1" x14ac:dyDescent="0.45">
      <c r="A3" s="116"/>
      <c r="B3" s="157" t="s">
        <v>169</v>
      </c>
      <c r="C3" s="157"/>
      <c r="D3" s="157"/>
      <c r="E3" s="157"/>
    </row>
    <row r="4" spans="1:5" ht="14.25" customHeight="1" x14ac:dyDescent="0.45">
      <c r="B4" s="34" t="s">
        <v>170</v>
      </c>
      <c r="C4" s="22">
        <v>4.4600000000000001E-2</v>
      </c>
      <c r="E4" s="117" t="s">
        <v>171</v>
      </c>
    </row>
    <row r="5" spans="1:5" ht="14.25" customHeight="1" x14ac:dyDescent="0.45">
      <c r="B5" s="34" t="s">
        <v>172</v>
      </c>
      <c r="C5" s="22">
        <v>4.2299999999999997E-2</v>
      </c>
      <c r="E5" s="117" t="s">
        <v>173</v>
      </c>
    </row>
    <row r="6" spans="1:5" ht="14.25" customHeight="1" x14ac:dyDescent="0.45">
      <c r="B6" s="34" t="s">
        <v>174</v>
      </c>
      <c r="C6" s="118">
        <f>1.23*(1+(1-C11)*C18/C17)</f>
        <v>1.3088617320183924</v>
      </c>
      <c r="E6" s="18" t="s">
        <v>175</v>
      </c>
    </row>
    <row r="7" spans="1:5" ht="14.25" customHeight="1" x14ac:dyDescent="0.45">
      <c r="B7" s="39" t="s">
        <v>176</v>
      </c>
      <c r="C7" s="119">
        <f>C4+C6*C5</f>
        <v>9.9964851264377999E-2</v>
      </c>
    </row>
    <row r="9" spans="1:5" ht="14.25" customHeight="1" x14ac:dyDescent="0.45">
      <c r="A9" s="116"/>
      <c r="B9" s="157" t="s">
        <v>177</v>
      </c>
      <c r="C9" s="157"/>
      <c r="D9" s="157"/>
      <c r="E9" s="157"/>
    </row>
    <row r="10" spans="1:5" ht="14.25" customHeight="1" x14ac:dyDescent="0.45">
      <c r="B10" s="34" t="s">
        <v>178</v>
      </c>
      <c r="C10" s="22">
        <v>7.2499999999999995E-2</v>
      </c>
      <c r="E10" s="18" t="s">
        <v>179</v>
      </c>
    </row>
    <row r="11" spans="1:5" ht="14.25" customHeight="1" x14ac:dyDescent="0.45">
      <c r="B11" s="34" t="s">
        <v>180</v>
      </c>
      <c r="C11" s="19">
        <f>IS!J39</f>
        <v>0.23</v>
      </c>
    </row>
    <row r="12" spans="1:5" ht="14.25" customHeight="1" x14ac:dyDescent="0.45">
      <c r="B12" s="39" t="s">
        <v>181</v>
      </c>
      <c r="C12" s="119">
        <f>C10*(1-C11)</f>
        <v>5.5825E-2</v>
      </c>
    </row>
    <row r="14" spans="1:5" ht="14.25" customHeight="1" x14ac:dyDescent="0.45">
      <c r="A14" s="116"/>
      <c r="B14" s="157" t="s">
        <v>182</v>
      </c>
      <c r="C14" s="157"/>
      <c r="D14" s="157"/>
      <c r="E14" s="157"/>
    </row>
    <row r="15" spans="1:5" ht="14.25" customHeight="1" x14ac:dyDescent="0.45">
      <c r="B15" s="34" t="s">
        <v>25</v>
      </c>
      <c r="C15" s="120">
        <v>60.47</v>
      </c>
      <c r="E15" s="117" t="s">
        <v>183</v>
      </c>
    </row>
    <row r="16" spans="1:5" ht="14.25" customHeight="1" x14ac:dyDescent="0.45">
      <c r="B16" s="34" t="s">
        <v>42</v>
      </c>
      <c r="C16" s="121">
        <f>C33</f>
        <v>228395.42339143375</v>
      </c>
      <c r="E16" s="18" t="s">
        <v>184</v>
      </c>
    </row>
    <row r="17" spans="1:5" ht="14.25" customHeight="1" x14ac:dyDescent="0.45">
      <c r="B17" s="122" t="s">
        <v>185</v>
      </c>
      <c r="C17" s="123">
        <f>C15*C16</f>
        <v>13811071.252479998</v>
      </c>
    </row>
    <row r="18" spans="1:5" ht="14.25" customHeight="1" x14ac:dyDescent="0.45">
      <c r="B18" s="34" t="s">
        <v>186</v>
      </c>
      <c r="C18" s="124">
        <v>1150000</v>
      </c>
      <c r="E18" s="117"/>
    </row>
    <row r="19" spans="1:5" ht="14.25" customHeight="1" x14ac:dyDescent="0.45">
      <c r="B19" s="39" t="s">
        <v>187</v>
      </c>
      <c r="C19" s="125">
        <f>C17+C18</f>
        <v>14961071.252479998</v>
      </c>
    </row>
    <row r="20" spans="1:5" ht="14.25" customHeight="1" x14ac:dyDescent="0.45">
      <c r="B20" s="34" t="s">
        <v>188</v>
      </c>
      <c r="C20" s="61">
        <f>C17/C19</f>
        <v>0.92313384646107</v>
      </c>
    </row>
    <row r="21" spans="1:5" ht="14.25" customHeight="1" x14ac:dyDescent="0.45">
      <c r="B21" s="34" t="s">
        <v>189</v>
      </c>
      <c r="C21" s="61">
        <f>C18/C19</f>
        <v>7.6866153538930046E-2</v>
      </c>
    </row>
    <row r="23" spans="1:5" ht="14.25" customHeight="1" x14ac:dyDescent="0.45">
      <c r="A23" s="116"/>
      <c r="B23" s="157" t="s">
        <v>37</v>
      </c>
      <c r="C23" s="157"/>
      <c r="D23" s="157"/>
      <c r="E23" s="157"/>
    </row>
    <row r="24" spans="1:5" ht="14.25" customHeight="1" x14ac:dyDescent="0.45">
      <c r="B24" s="126" t="s">
        <v>37</v>
      </c>
      <c r="C24" s="127">
        <f>C20*C7+C21*C12</f>
        <v>9.6571990679904796E-2</v>
      </c>
    </row>
    <row r="26" spans="1:5" ht="14.25" customHeight="1" x14ac:dyDescent="0.45">
      <c r="A26" s="116"/>
      <c r="B26" s="157" t="s">
        <v>190</v>
      </c>
      <c r="C26" s="157"/>
      <c r="D26" s="157"/>
      <c r="E26" s="157"/>
    </row>
    <row r="27" spans="1:5" ht="14.25" customHeight="1" x14ac:dyDescent="0.45">
      <c r="B27" s="34" t="s">
        <v>191</v>
      </c>
      <c r="C27" s="124">
        <v>157404.64799999999</v>
      </c>
      <c r="E27" s="18" t="s">
        <v>192</v>
      </c>
    </row>
    <row r="28" spans="1:5" ht="14.25" customHeight="1" x14ac:dyDescent="0.45">
      <c r="B28" s="34" t="s">
        <v>193</v>
      </c>
      <c r="C28" s="124">
        <v>44871.491999999998</v>
      </c>
      <c r="E28" s="18" t="s">
        <v>192</v>
      </c>
    </row>
    <row r="29" spans="1:5" ht="14.25" customHeight="1" x14ac:dyDescent="0.45">
      <c r="B29" s="34" t="s">
        <v>194</v>
      </c>
      <c r="C29" s="124">
        <v>8970.3529999999992</v>
      </c>
      <c r="E29" s="18" t="s">
        <v>195</v>
      </c>
    </row>
    <row r="30" spans="1:5" ht="14.25" customHeight="1" x14ac:dyDescent="0.45">
      <c r="B30" s="34" t="s">
        <v>196</v>
      </c>
      <c r="C30" s="128">
        <v>29.2</v>
      </c>
      <c r="E30" s="18" t="s">
        <v>195</v>
      </c>
    </row>
    <row r="31" spans="1:5" ht="14.25" customHeight="1" x14ac:dyDescent="0.45">
      <c r="B31" s="34" t="s">
        <v>197</v>
      </c>
      <c r="C31" s="121">
        <f>IF(C15&gt;C30,C29*(1-C30/C15),0)</f>
        <v>4638.712391433769</v>
      </c>
      <c r="E31" s="18" t="s">
        <v>198</v>
      </c>
    </row>
    <row r="32" spans="1:5" ht="14.25" customHeight="1" x14ac:dyDescent="0.45">
      <c r="B32" s="34" t="s">
        <v>199</v>
      </c>
      <c r="C32" s="124">
        <v>21480.571</v>
      </c>
      <c r="E32" s="18" t="s">
        <v>200</v>
      </c>
    </row>
    <row r="33" spans="2:3" ht="14.25" customHeight="1" x14ac:dyDescent="0.45">
      <c r="B33" s="39" t="s">
        <v>201</v>
      </c>
      <c r="C33" s="125">
        <f>C27+C28+C31+C32</f>
        <v>228395.42339143375</v>
      </c>
    </row>
  </sheetData>
  <mergeCells count="6">
    <mergeCell ref="B26:E26"/>
    <mergeCell ref="B1:E1"/>
    <mergeCell ref="B3:E3"/>
    <mergeCell ref="B9:E9"/>
    <mergeCell ref="B14:E14"/>
    <mergeCell ref="B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3"/>
  <sheetViews>
    <sheetView showGridLines="0" topLeftCell="A33" zoomScale="91" zoomScaleNormal="91" workbookViewId="0">
      <selection activeCell="F61" sqref="F61"/>
    </sheetView>
  </sheetViews>
  <sheetFormatPr defaultColWidth="8.6640625" defaultRowHeight="14.25" x14ac:dyDescent="0.45"/>
  <cols>
    <col min="1" max="1" width="2.46484375" customWidth="1"/>
    <col min="2" max="2" width="46.19921875" customWidth="1"/>
    <col min="3" max="10" width="13.46484375" customWidth="1"/>
    <col min="11" max="20" width="13" customWidth="1"/>
  </cols>
  <sheetData>
    <row r="1" spans="1:20" ht="15.75" customHeight="1" x14ac:dyDescent="0.45">
      <c r="A1" s="2"/>
      <c r="B1" s="156" t="s">
        <v>202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0" ht="14.25" customHeight="1" x14ac:dyDescent="0.45">
      <c r="G2" s="129" t="str">
        <f>IS!G2</f>
        <v>FY2027E</v>
      </c>
      <c r="H2" s="129" t="str">
        <f>IS!H2</f>
        <v>FY2028E</v>
      </c>
      <c r="I2" s="129" t="str">
        <f>IS!I2</f>
        <v>FY2029E</v>
      </c>
      <c r="J2" s="129" t="str">
        <f>IS!J2</f>
        <v>FY2030E</v>
      </c>
      <c r="K2" s="129" t="str">
        <f>IS!K2</f>
        <v>FY2031E</v>
      </c>
      <c r="L2" s="129" t="str">
        <f>IS!L2</f>
        <v>FY2032E</v>
      </c>
      <c r="M2" s="129" t="str">
        <f>IS!M2</f>
        <v>FY2033E</v>
      </c>
      <c r="N2" s="129" t="str">
        <f>IS!N2</f>
        <v>FY2034E</v>
      </c>
      <c r="O2" s="129" t="str">
        <f>IS!O2</f>
        <v>FY2035E</v>
      </c>
      <c r="P2" s="129" t="str">
        <f>IS!P2</f>
        <v>FY2036E</v>
      </c>
      <c r="Q2" s="129" t="str">
        <f>IS!Q2</f>
        <v>FY2037E</v>
      </c>
      <c r="R2" s="129" t="str">
        <f>IS!R2</f>
        <v>FY2038E</v>
      </c>
      <c r="S2" s="129" t="str">
        <f>IS!S2</f>
        <v>FY2039E</v>
      </c>
      <c r="T2" s="129" t="str">
        <f>IS!T2</f>
        <v>FY2040E</v>
      </c>
    </row>
    <row r="3" spans="1:20" ht="14.25" customHeight="1" x14ac:dyDescent="0.45">
      <c r="A3" s="116"/>
      <c r="B3" s="157" t="s">
        <v>203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</row>
    <row r="4" spans="1:20" ht="14.25" customHeight="1" x14ac:dyDescent="0.45">
      <c r="B4" s="34" t="s">
        <v>71</v>
      </c>
      <c r="G4" s="69">
        <f>IS!G5</f>
        <v>1750534.03</v>
      </c>
      <c r="H4" s="69">
        <f>IS!H5</f>
        <v>2240683.5584</v>
      </c>
      <c r="I4" s="69">
        <f>IS!I5</f>
        <v>2800854.4479999999</v>
      </c>
      <c r="J4" s="69">
        <f>IS!J5</f>
        <v>3417042.4265599996</v>
      </c>
      <c r="K4" s="69">
        <f>IS!K5</f>
        <v>4066280.4876063992</v>
      </c>
      <c r="L4" s="69">
        <f>IS!L5</f>
        <v>4716885.3656234229</v>
      </c>
      <c r="M4" s="69">
        <f>IS!M5</f>
        <v>5330080.4631544678</v>
      </c>
      <c r="N4" s="69">
        <f>IS!N5</f>
        <v>5863088.5094699152</v>
      </c>
      <c r="O4" s="69">
        <f>IS!O5</f>
        <v>6332135.5902275089</v>
      </c>
      <c r="P4" s="69">
        <f>IS!P5</f>
        <v>6775385.0815434353</v>
      </c>
      <c r="Q4" s="69">
        <f>IS!Q5</f>
        <v>7181908.1864360422</v>
      </c>
      <c r="R4" s="69">
        <f>IS!R5</f>
        <v>7541003.5957578449</v>
      </c>
      <c r="S4" s="69">
        <f>IS!S5</f>
        <v>7842643.7395881591</v>
      </c>
      <c r="T4" s="69">
        <f>IS!T5</f>
        <v>8117136.2704737438</v>
      </c>
    </row>
    <row r="5" spans="1:20" ht="14.25" customHeight="1" x14ac:dyDescent="0.45">
      <c r="B5" s="34" t="s">
        <v>204</v>
      </c>
      <c r="G5" s="69">
        <f>IS!G22</f>
        <v>-332601.46569999983</v>
      </c>
      <c r="H5" s="69">
        <f>IS!H22</f>
        <v>-168051.26687999978</v>
      </c>
      <c r="I5" s="69">
        <f>IS!I22</f>
        <v>84025.633440000005</v>
      </c>
      <c r="J5" s="69">
        <f>IS!J22</f>
        <v>427130.30331999948</v>
      </c>
      <c r="K5" s="69">
        <f>IS!K22</f>
        <v>752261.89020718355</v>
      </c>
      <c r="L5" s="69">
        <f>IS!L22</f>
        <v>1014130.3536090357</v>
      </c>
      <c r="M5" s="69">
        <f>IS!M22</f>
        <v>1279219.311157072</v>
      </c>
      <c r="N5" s="69">
        <f>IS!N22</f>
        <v>1524403.0124621782</v>
      </c>
      <c r="O5" s="69">
        <f>IS!O22</f>
        <v>1741337.2873125644</v>
      </c>
      <c r="P5" s="69">
        <f>IS!P22</f>
        <v>1930984.7482398786</v>
      </c>
      <c r="Q5" s="69">
        <f>IS!Q22</f>
        <v>2118662.9149986329</v>
      </c>
      <c r="R5" s="69">
        <f>IS!R22</f>
        <v>2262301.0787273534</v>
      </c>
      <c r="S5" s="69">
        <f>IS!S22</f>
        <v>2392006.3405743884</v>
      </c>
      <c r="T5" s="69">
        <f>IS!T22</f>
        <v>2516312.2438468598</v>
      </c>
    </row>
    <row r="6" spans="1:20" ht="14.25" customHeight="1" x14ac:dyDescent="0.45">
      <c r="B6" s="130" t="s">
        <v>100</v>
      </c>
      <c r="G6" s="131">
        <f>IS!G39</f>
        <v>0</v>
      </c>
      <c r="H6" s="131">
        <f>IS!H39</f>
        <v>0.1</v>
      </c>
      <c r="I6" s="131">
        <f>IS!I39</f>
        <v>0.18</v>
      </c>
      <c r="J6" s="131">
        <f>IS!J39</f>
        <v>0.23</v>
      </c>
      <c r="K6" s="131">
        <f>IS!K39</f>
        <v>0.23</v>
      </c>
      <c r="L6" s="131">
        <f>IS!L39</f>
        <v>0.23</v>
      </c>
      <c r="M6" s="131">
        <f>IS!M39</f>
        <v>0.23</v>
      </c>
      <c r="N6" s="131">
        <f>IS!N39</f>
        <v>0.23</v>
      </c>
      <c r="O6" s="131">
        <f>IS!O39</f>
        <v>0.23</v>
      </c>
      <c r="P6" s="131">
        <f>IS!P39</f>
        <v>0.23</v>
      </c>
      <c r="Q6" s="131">
        <f>IS!Q39</f>
        <v>0.23</v>
      </c>
      <c r="R6" s="131">
        <f>IS!R39</f>
        <v>0.23</v>
      </c>
      <c r="S6" s="131">
        <f>IS!S39</f>
        <v>0.23</v>
      </c>
      <c r="T6" s="131">
        <f>IS!T39</f>
        <v>0.23</v>
      </c>
    </row>
    <row r="7" spans="1:20" ht="14.25" customHeight="1" x14ac:dyDescent="0.45">
      <c r="B7" s="34" t="s">
        <v>205</v>
      </c>
      <c r="G7" s="37">
        <f t="shared" ref="G7:T7" si="0">-IF(G5&gt;0,G5*G6,0)</f>
        <v>0</v>
      </c>
      <c r="H7" s="37">
        <f t="shared" si="0"/>
        <v>0</v>
      </c>
      <c r="I7" s="37">
        <f t="shared" si="0"/>
        <v>-15124.6140192</v>
      </c>
      <c r="J7" s="37">
        <f t="shared" si="0"/>
        <v>-98239.969763599889</v>
      </c>
      <c r="K7" s="37">
        <f t="shared" si="0"/>
        <v>-173020.23474765223</v>
      </c>
      <c r="L7" s="37">
        <f t="shared" si="0"/>
        <v>-233249.98133007824</v>
      </c>
      <c r="M7" s="37">
        <f t="shared" si="0"/>
        <v>-294220.44156612654</v>
      </c>
      <c r="N7" s="37">
        <f t="shared" si="0"/>
        <v>-350612.69286630099</v>
      </c>
      <c r="O7" s="37">
        <f t="shared" si="0"/>
        <v>-400507.57608188986</v>
      </c>
      <c r="P7" s="37">
        <f t="shared" si="0"/>
        <v>-444126.49209517211</v>
      </c>
      <c r="Q7" s="37">
        <f t="shared" si="0"/>
        <v>-487292.47044968558</v>
      </c>
      <c r="R7" s="37">
        <f t="shared" si="0"/>
        <v>-520329.24810729129</v>
      </c>
      <c r="S7" s="37">
        <f t="shared" si="0"/>
        <v>-550161.45833210938</v>
      </c>
      <c r="T7" s="37">
        <f t="shared" si="0"/>
        <v>-578751.81608477782</v>
      </c>
    </row>
    <row r="8" spans="1:20" ht="14.25" customHeight="1" x14ac:dyDescent="0.45">
      <c r="B8" s="122" t="s">
        <v>206</v>
      </c>
      <c r="C8" s="15"/>
      <c r="D8" s="15"/>
      <c r="E8" s="15"/>
      <c r="F8" s="15"/>
      <c r="G8" s="40">
        <f t="shared" ref="G8:T8" si="1">G5+G7</f>
        <v>-332601.46569999983</v>
      </c>
      <c r="H8" s="40">
        <f t="shared" si="1"/>
        <v>-168051.26687999978</v>
      </c>
      <c r="I8" s="40">
        <f t="shared" si="1"/>
        <v>68901.019420800003</v>
      </c>
      <c r="J8" s="40">
        <f t="shared" si="1"/>
        <v>328890.33355639956</v>
      </c>
      <c r="K8" s="40">
        <f t="shared" si="1"/>
        <v>579241.65545953135</v>
      </c>
      <c r="L8" s="40">
        <f t="shared" si="1"/>
        <v>780880.37227895751</v>
      </c>
      <c r="M8" s="40">
        <f t="shared" si="1"/>
        <v>984998.86959094543</v>
      </c>
      <c r="N8" s="40">
        <f t="shared" si="1"/>
        <v>1173790.3195958773</v>
      </c>
      <c r="O8" s="40">
        <f t="shared" si="1"/>
        <v>1340829.7112306745</v>
      </c>
      <c r="P8" s="40">
        <f t="shared" si="1"/>
        <v>1486858.2561447064</v>
      </c>
      <c r="Q8" s="40">
        <f t="shared" si="1"/>
        <v>1631370.4445489473</v>
      </c>
      <c r="R8" s="40">
        <f t="shared" si="1"/>
        <v>1741971.8306200621</v>
      </c>
      <c r="S8" s="40">
        <f t="shared" si="1"/>
        <v>1841844.8822422791</v>
      </c>
      <c r="T8" s="40">
        <f t="shared" si="1"/>
        <v>1937560.4277620818</v>
      </c>
    </row>
    <row r="9" spans="1:20" ht="14.25" customHeight="1" x14ac:dyDescent="0.45">
      <c r="B9" s="34" t="s">
        <v>207</v>
      </c>
      <c r="G9" s="69">
        <f>IS!G21</f>
        <v>45513.88478</v>
      </c>
      <c r="H9" s="69">
        <f>IS!H21</f>
        <v>49295.038284799994</v>
      </c>
      <c r="I9" s="69">
        <f>IS!I21</f>
        <v>56017.088960000001</v>
      </c>
      <c r="J9" s="69">
        <f>IS!J21</f>
        <v>61506.763678079988</v>
      </c>
      <c r="K9" s="69">
        <f>IS!K21</f>
        <v>73193.04877691518</v>
      </c>
      <c r="L9" s="69">
        <f>IS!L21</f>
        <v>84903.936581221613</v>
      </c>
      <c r="M9" s="69">
        <f>IS!M21</f>
        <v>95941.448336780406</v>
      </c>
      <c r="N9" s="69">
        <f>IS!N21</f>
        <v>105535.59317045847</v>
      </c>
      <c r="O9" s="69">
        <f>IS!O21</f>
        <v>113978.44062409515</v>
      </c>
      <c r="P9" s="69">
        <f>IS!P21</f>
        <v>121956.93146778183</v>
      </c>
      <c r="Q9" s="69">
        <f>IS!Q21</f>
        <v>129274.34735584875</v>
      </c>
      <c r="R9" s="69">
        <f>IS!R21</f>
        <v>135738.0647236412</v>
      </c>
      <c r="S9" s="69">
        <f>IS!S21</f>
        <v>141167.58731258687</v>
      </c>
      <c r="T9" s="69">
        <f>IS!T21</f>
        <v>146108.45286852738</v>
      </c>
    </row>
    <row r="10" spans="1:20" ht="14.25" customHeight="1" x14ac:dyDescent="0.45">
      <c r="B10" s="130" t="s">
        <v>208</v>
      </c>
      <c r="G10" s="131">
        <f>BS!G42</f>
        <v>0.02</v>
      </c>
      <c r="H10" s="131">
        <f>BS!H42</f>
        <v>0.02</v>
      </c>
      <c r="I10" s="131">
        <f>BS!I42</f>
        <v>0.02</v>
      </c>
      <c r="J10" s="131">
        <f>BS!J42</f>
        <v>0.02</v>
      </c>
      <c r="K10" s="131">
        <f>BS!K42</f>
        <v>0.02</v>
      </c>
      <c r="L10" s="131">
        <f>BS!L42</f>
        <v>0.02</v>
      </c>
      <c r="M10" s="131">
        <f>BS!M42</f>
        <v>0.02</v>
      </c>
      <c r="N10" s="131">
        <f>BS!N42</f>
        <v>0.02</v>
      </c>
      <c r="O10" s="131">
        <f>BS!O42</f>
        <v>0.02</v>
      </c>
      <c r="P10" s="131">
        <f>BS!P42</f>
        <v>0.02</v>
      </c>
      <c r="Q10" s="131">
        <f>BS!Q42</f>
        <v>0.02</v>
      </c>
      <c r="R10" s="131">
        <f>BS!R42</f>
        <v>0.02</v>
      </c>
      <c r="S10" s="131">
        <f>BS!S42</f>
        <v>0.02</v>
      </c>
      <c r="T10" s="131">
        <f>BS!T42</f>
        <v>0.02</v>
      </c>
    </row>
    <row r="11" spans="1:20" ht="14.25" customHeight="1" x14ac:dyDescent="0.45">
      <c r="B11" s="34" t="s">
        <v>209</v>
      </c>
      <c r="G11" s="37">
        <f t="shared" ref="G11:T11" si="2">-G4*G10</f>
        <v>-35010.6806</v>
      </c>
      <c r="H11" s="37">
        <f t="shared" si="2"/>
        <v>-44813.671168000001</v>
      </c>
      <c r="I11" s="37">
        <f t="shared" si="2"/>
        <v>-56017.088960000001</v>
      </c>
      <c r="J11" s="37">
        <f t="shared" si="2"/>
        <v>-68340.848531199998</v>
      </c>
      <c r="K11" s="37">
        <f t="shared" si="2"/>
        <v>-81325.609752127988</v>
      </c>
      <c r="L11" s="37">
        <f t="shared" si="2"/>
        <v>-94337.707312468454</v>
      </c>
      <c r="M11" s="37">
        <f t="shared" si="2"/>
        <v>-106601.60926308935</v>
      </c>
      <c r="N11" s="37">
        <f t="shared" si="2"/>
        <v>-117261.7701893983</v>
      </c>
      <c r="O11" s="37">
        <f t="shared" si="2"/>
        <v>-126642.71180455018</v>
      </c>
      <c r="P11" s="37">
        <f t="shared" si="2"/>
        <v>-135507.70163086872</v>
      </c>
      <c r="Q11" s="37">
        <f t="shared" si="2"/>
        <v>-143638.16372872086</v>
      </c>
      <c r="R11" s="37">
        <f t="shared" si="2"/>
        <v>-150820.07191515691</v>
      </c>
      <c r="S11" s="37">
        <f t="shared" si="2"/>
        <v>-156852.8747917632</v>
      </c>
      <c r="T11" s="37">
        <f t="shared" si="2"/>
        <v>-162342.72540947489</v>
      </c>
    </row>
    <row r="12" spans="1:20" ht="14.25" customHeight="1" x14ac:dyDescent="0.45">
      <c r="B12" s="132" t="s">
        <v>210</v>
      </c>
      <c r="E12" s="133"/>
      <c r="G12" s="58">
        <f t="shared" ref="G12:T12" si="3">G13/G4</f>
        <v>0.16352224936056134</v>
      </c>
      <c r="H12" s="58">
        <f t="shared" si="3"/>
        <v>0.22838570205479458</v>
      </c>
      <c r="I12" s="58">
        <f t="shared" si="3"/>
        <v>0.20875890410958894</v>
      </c>
      <c r="J12" s="58">
        <f t="shared" si="3"/>
        <v>0.18817561194700211</v>
      </c>
      <c r="K12" s="58">
        <f t="shared" si="3"/>
        <v>0.1665634856682395</v>
      </c>
      <c r="L12" s="58">
        <f t="shared" si="3"/>
        <v>0.14402078412848396</v>
      </c>
      <c r="M12" s="58">
        <f t="shared" si="3"/>
        <v>0.12012353012486354</v>
      </c>
      <c r="N12" s="58">
        <f t="shared" si="3"/>
        <v>9.4922789539227878E-2</v>
      </c>
      <c r="O12" s="58">
        <f t="shared" si="3"/>
        <v>7.7344495180111647E-2</v>
      </c>
      <c r="P12" s="58">
        <f t="shared" si="3"/>
        <v>6.8308923313276218E-2</v>
      </c>
      <c r="Q12" s="58">
        <f t="shared" si="3"/>
        <v>5.9102868958387449E-2</v>
      </c>
      <c r="R12" s="58">
        <f t="shared" si="3"/>
        <v>4.972146118721469E-2</v>
      </c>
      <c r="S12" s="58">
        <f t="shared" si="3"/>
        <v>4.0159641728134972E-2</v>
      </c>
      <c r="T12" s="58">
        <f t="shared" si="3"/>
        <v>3.5309443451790067E-2</v>
      </c>
    </row>
    <row r="13" spans="1:20" ht="14.25" customHeight="1" x14ac:dyDescent="0.45">
      <c r="B13" s="34" t="s">
        <v>211</v>
      </c>
      <c r="G13" s="69">
        <f>CFS!G8+CFS!G9</f>
        <v>286251.26216780837</v>
      </c>
      <c r="H13" s="69">
        <f>CFS!H8+CFS!H9</f>
        <v>511740.08756781928</v>
      </c>
      <c r="I13" s="69">
        <f>CFS!I8+CFS!I9</f>
        <v>584703.30513494764</v>
      </c>
      <c r="J13" s="69">
        <f>CFS!J8+CFS!J9</f>
        <v>643004.04966679693</v>
      </c>
      <c r="K13" s="69">
        <f>CFS!K8+CFS!K9</f>
        <v>677293.85172047047</v>
      </c>
      <c r="L13" s="69">
        <f>CFS!L8+CFS!L9</f>
        <v>679329.5290012561</v>
      </c>
      <c r="M13" s="69">
        <f>CFS!M8+CFS!M9</f>
        <v>640268.08108368237</v>
      </c>
      <c r="N13" s="69">
        <f>CFS!N8+CFS!N9</f>
        <v>556540.71663427807</v>
      </c>
      <c r="O13" s="69">
        <f>CFS!O8+CFS!O9</f>
        <v>489755.830638165</v>
      </c>
      <c r="P13" s="69">
        <f>CFS!P8+CFS!P9</f>
        <v>462819.25995306624</v>
      </c>
      <c r="Q13" s="69">
        <f>CFS!Q8+CFS!Q9</f>
        <v>424471.37841409945</v>
      </c>
      <c r="R13" s="69">
        <f>CFS!R8+CFS!R9</f>
        <v>374949.71759912011</v>
      </c>
      <c r="S13" s="69">
        <f>CFS!S8+CFS!S9</f>
        <v>314957.76278326113</v>
      </c>
      <c r="T13" s="69">
        <f>CFS!T8+CFS!T9</f>
        <v>286611.5641327668</v>
      </c>
    </row>
    <row r="14" spans="1:20" ht="14.25" customHeight="1" x14ac:dyDescent="0.45">
      <c r="B14" s="122" t="s">
        <v>212</v>
      </c>
      <c r="C14" s="15"/>
      <c r="D14" s="15"/>
      <c r="E14" s="15"/>
      <c r="F14" s="15"/>
      <c r="G14" s="40">
        <f t="shared" ref="G14:T14" si="4">G8+G9+G11+G13</f>
        <v>-35846.999352191458</v>
      </c>
      <c r="H14" s="40">
        <f t="shared" si="4"/>
        <v>348170.18780461949</v>
      </c>
      <c r="I14" s="40">
        <f t="shared" si="4"/>
        <v>653604.32455574768</v>
      </c>
      <c r="J14" s="40">
        <f t="shared" si="4"/>
        <v>965060.29837007646</v>
      </c>
      <c r="K14" s="40">
        <f t="shared" si="4"/>
        <v>1248402.946204789</v>
      </c>
      <c r="L14" s="40">
        <f t="shared" si="4"/>
        <v>1450776.1305489668</v>
      </c>
      <c r="M14" s="40">
        <f t="shared" si="4"/>
        <v>1614606.789748319</v>
      </c>
      <c r="N14" s="40">
        <f t="shared" si="4"/>
        <v>1718604.8592112157</v>
      </c>
      <c r="O14" s="40">
        <f t="shared" si="4"/>
        <v>1817921.2706883848</v>
      </c>
      <c r="P14" s="40">
        <f t="shared" si="4"/>
        <v>1936126.7459346857</v>
      </c>
      <c r="Q14" s="40">
        <f t="shared" si="4"/>
        <v>2041478.0065901745</v>
      </c>
      <c r="R14" s="40">
        <f t="shared" si="4"/>
        <v>2101839.5410276665</v>
      </c>
      <c r="S14" s="40">
        <f t="shared" si="4"/>
        <v>2141117.357546364</v>
      </c>
      <c r="T14" s="40">
        <f t="shared" si="4"/>
        <v>2207937.7193539012</v>
      </c>
    </row>
    <row r="15" spans="1:20" ht="14.25" customHeight="1" x14ac:dyDescent="0.45"/>
    <row r="16" spans="1:20" ht="14.25" customHeight="1" x14ac:dyDescent="0.45">
      <c r="A16" s="116"/>
      <c r="B16" s="157" t="s">
        <v>213</v>
      </c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</row>
    <row r="17" spans="1:20" ht="14.25" customHeight="1" x14ac:dyDescent="0.45">
      <c r="B17" s="34" t="s">
        <v>214</v>
      </c>
      <c r="G17" s="134">
        <v>1</v>
      </c>
      <c r="H17" s="134">
        <v>2</v>
      </c>
      <c r="I17" s="134">
        <v>3</v>
      </c>
      <c r="J17" s="134">
        <v>4</v>
      </c>
      <c r="K17" s="134">
        <v>5</v>
      </c>
      <c r="L17" s="134">
        <v>6</v>
      </c>
      <c r="M17" s="134">
        <v>7</v>
      </c>
      <c r="N17" s="134">
        <v>8</v>
      </c>
      <c r="O17" s="134">
        <v>9</v>
      </c>
      <c r="P17" s="134">
        <v>10</v>
      </c>
      <c r="Q17" s="134">
        <v>11</v>
      </c>
      <c r="R17" s="134">
        <v>12</v>
      </c>
      <c r="S17" s="134">
        <v>13</v>
      </c>
      <c r="T17" s="134">
        <v>14</v>
      </c>
    </row>
    <row r="18" spans="1:20" ht="14.25" customHeight="1" x14ac:dyDescent="0.45">
      <c r="B18" s="34" t="s">
        <v>215</v>
      </c>
      <c r="G18" s="135">
        <f>1/(1+WACC!$C$24)^G17</f>
        <v>0.91193283113128998</v>
      </c>
      <c r="H18" s="135">
        <f>1/(1+WACC!$C$24)^H17</f>
        <v>0.83162148849512973</v>
      </c>
      <c r="I18" s="135">
        <f>1/(1+WACC!$C$24)^I17</f>
        <v>0.7583829384329811</v>
      </c>
      <c r="J18" s="135">
        <f>1/(1+WACC!$C$24)^J17</f>
        <v>0.69159430012685519</v>
      </c>
      <c r="K18" s="135">
        <f>1/(1+WACC!$C$24)^K17</f>
        <v>0.63068754810894612</v>
      </c>
      <c r="L18" s="135">
        <f>1/(1+WACC!$C$24)^L17</f>
        <v>0.57514468130624286</v>
      </c>
      <c r="M18" s="135">
        <f>1/(1+WACC!$C$24)^M17</f>
        <v>0.52449331753370554</v>
      </c>
      <c r="N18" s="135">
        <f>1/(1+WACC!$C$24)^N17</f>
        <v>0.47830267596795467</v>
      </c>
      <c r="O18" s="135">
        <f>1/(1+WACC!$C$24)^O17</f>
        <v>0.43617991343312884</v>
      </c>
      <c r="P18" s="135">
        <f>1/(1+WACC!$C$24)^P17</f>
        <v>0.39776678333967413</v>
      </c>
      <c r="Q18" s="135">
        <f>1/(1+WACC!$C$24)^Q17</f>
        <v>0.36273658886093552</v>
      </c>
      <c r="R18" s="135">
        <f>1/(1+WACC!$C$24)^R17</f>
        <v>0.3307914044348596</v>
      </c>
      <c r="S18" s="135">
        <f>1/(1+WACC!$C$24)^S17</f>
        <v>0.30165954196017708</v>
      </c>
      <c r="T18" s="135">
        <f>1/(1+WACC!$C$24)^T17</f>
        <v>0.27509324013751241</v>
      </c>
    </row>
    <row r="19" spans="1:20" ht="14.25" customHeight="1" x14ac:dyDescent="0.45">
      <c r="B19" s="122" t="s">
        <v>216</v>
      </c>
      <c r="C19" s="15"/>
      <c r="D19" s="15"/>
      <c r="E19" s="15"/>
      <c r="F19" s="15"/>
      <c r="G19" s="40">
        <f t="shared" ref="G19:T19" si="5">G14*G18</f>
        <v>-32690.055606805476</v>
      </c>
      <c r="H19" s="40">
        <f t="shared" si="5"/>
        <v>289545.80983170652</v>
      </c>
      <c r="I19" s="40">
        <f t="shared" si="5"/>
        <v>495682.36822909181</v>
      </c>
      <c r="J19" s="40">
        <f t="shared" si="5"/>
        <v>667430.20163146709</v>
      </c>
      <c r="K19" s="40">
        <f t="shared" si="5"/>
        <v>787352.19319388294</v>
      </c>
      <c r="L19" s="40">
        <f t="shared" si="5"/>
        <v>834406.17525128974</v>
      </c>
      <c r="M19" s="40">
        <f t="shared" si="5"/>
        <v>846850.47166754201</v>
      </c>
      <c r="N19" s="40">
        <f t="shared" si="5"/>
        <v>822013.30309225444</v>
      </c>
      <c r="O19" s="40">
        <f t="shared" si="5"/>
        <v>792940.74247710325</v>
      </c>
      <c r="P19" s="40">
        <f t="shared" si="5"/>
        <v>770126.90786835039</v>
      </c>
      <c r="Q19" s="40">
        <f t="shared" si="5"/>
        <v>740518.76834514237</v>
      </c>
      <c r="R19" s="40">
        <f t="shared" si="5"/>
        <v>695270.4536732625</v>
      </c>
      <c r="S19" s="40">
        <f t="shared" si="5"/>
        <v>645888.48136042082</v>
      </c>
      <c r="T19" s="40">
        <f t="shared" si="5"/>
        <v>607388.74123889417</v>
      </c>
    </row>
    <row r="21" spans="1:20" ht="14.25" customHeight="1" x14ac:dyDescent="0.45">
      <c r="A21" s="116"/>
      <c r="B21" s="157" t="s">
        <v>217</v>
      </c>
      <c r="C21" s="157"/>
      <c r="D21" s="157"/>
      <c r="E21" s="157"/>
      <c r="F21" s="157"/>
      <c r="G21" s="157"/>
      <c r="H21" s="157"/>
      <c r="I21" s="157"/>
      <c r="J21" s="157"/>
    </row>
    <row r="22" spans="1:20" ht="14.25" customHeight="1" x14ac:dyDescent="0.45">
      <c r="C22" s="136" t="s">
        <v>218</v>
      </c>
      <c r="E22" s="136" t="s">
        <v>219</v>
      </c>
    </row>
    <row r="23" spans="1:20" ht="14.25" customHeight="1" x14ac:dyDescent="0.45">
      <c r="B23" s="34" t="s">
        <v>220</v>
      </c>
      <c r="C23" s="37">
        <f>SUM(G19:T19)</f>
        <v>8962724.5622536037</v>
      </c>
      <c r="E23" s="37">
        <f>C23</f>
        <v>8962724.5622536037</v>
      </c>
    </row>
    <row r="24" spans="1:20" ht="14.25" customHeight="1" x14ac:dyDescent="0.45">
      <c r="B24" s="34" t="s">
        <v>221</v>
      </c>
      <c r="C24" s="37">
        <f>T14</f>
        <v>2207937.7193539012</v>
      </c>
    </row>
    <row r="25" spans="1:20" ht="14.25" customHeight="1" x14ac:dyDescent="0.45">
      <c r="B25" s="34" t="s">
        <v>38</v>
      </c>
      <c r="C25" s="22">
        <v>2.5000000000000001E-2</v>
      </c>
      <c r="G25" s="18" t="s">
        <v>222</v>
      </c>
    </row>
    <row r="26" spans="1:20" ht="14.25" customHeight="1" x14ac:dyDescent="0.45">
      <c r="B26" s="122" t="s">
        <v>223</v>
      </c>
      <c r="C26" s="137">
        <f>C24*(1+C25)/(WACC!$C$24-C25)</f>
        <v>31620416.60206563</v>
      </c>
    </row>
    <row r="27" spans="1:20" ht="14.25" customHeight="1" x14ac:dyDescent="0.45">
      <c r="B27" s="122" t="s">
        <v>224</v>
      </c>
      <c r="C27" s="137">
        <f>C26/(1+WACC!$C$24)^T17</f>
        <v>8698562.8575602248</v>
      </c>
    </row>
    <row r="28" spans="1:20" ht="14.25" customHeight="1" x14ac:dyDescent="0.45">
      <c r="B28" s="34" t="s">
        <v>225</v>
      </c>
      <c r="E28" s="69">
        <f>IS!T19</f>
        <v>2662420.6967153871</v>
      </c>
    </row>
    <row r="29" spans="1:20" ht="14.25" customHeight="1" x14ac:dyDescent="0.45">
      <c r="B29" s="34" t="s">
        <v>39</v>
      </c>
      <c r="E29" s="138">
        <v>11</v>
      </c>
      <c r="G29" s="18" t="s">
        <v>226</v>
      </c>
    </row>
    <row r="30" spans="1:20" ht="14.25" customHeight="1" x14ac:dyDescent="0.45">
      <c r="B30" s="122" t="s">
        <v>223</v>
      </c>
      <c r="E30" s="139">
        <f>E28*E29</f>
        <v>29286627.663869258</v>
      </c>
    </row>
    <row r="31" spans="1:20" ht="14.25" customHeight="1" x14ac:dyDescent="0.45">
      <c r="B31" s="122" t="s">
        <v>224</v>
      </c>
      <c r="E31" s="137">
        <f>E30/(1+WACC!$C$24)^T17</f>
        <v>8056553.2967547001</v>
      </c>
    </row>
    <row r="32" spans="1:20" ht="14.25" customHeight="1" x14ac:dyDescent="0.45">
      <c r="B32" s="122" t="s">
        <v>227</v>
      </c>
      <c r="C32" s="40">
        <f>C23+C27</f>
        <v>17661287.419813827</v>
      </c>
      <c r="E32" s="40">
        <f>E23+E31</f>
        <v>17019277.859008305</v>
      </c>
    </row>
    <row r="33" spans="1:10" ht="14.25" customHeight="1" x14ac:dyDescent="0.45">
      <c r="B33" s="34" t="s">
        <v>228</v>
      </c>
      <c r="C33" s="69">
        <f>-WACC!$C$18</f>
        <v>-1150000</v>
      </c>
      <c r="E33" s="69">
        <f>-WACC!$C$18</f>
        <v>-1150000</v>
      </c>
    </row>
    <row r="34" spans="1:10" ht="14.25" customHeight="1" x14ac:dyDescent="0.45">
      <c r="B34" s="34" t="s">
        <v>229</v>
      </c>
      <c r="C34" s="69">
        <f>BS!F5</f>
        <v>1675775</v>
      </c>
      <c r="E34" s="69">
        <f>BS!F5</f>
        <v>1675775</v>
      </c>
      <c r="G34" s="18" t="s">
        <v>230</v>
      </c>
    </row>
    <row r="35" spans="1:10" ht="14.25" customHeight="1" x14ac:dyDescent="0.45">
      <c r="B35" s="34" t="s">
        <v>231</v>
      </c>
      <c r="C35" s="35">
        <v>0</v>
      </c>
      <c r="E35" s="35">
        <v>0</v>
      </c>
    </row>
    <row r="36" spans="1:10" ht="14.25" customHeight="1" x14ac:dyDescent="0.45">
      <c r="B36" s="34" t="s">
        <v>232</v>
      </c>
      <c r="C36" s="35">
        <v>0</v>
      </c>
      <c r="E36" s="35">
        <v>0</v>
      </c>
    </row>
    <row r="37" spans="1:10" ht="14.25" customHeight="1" x14ac:dyDescent="0.45">
      <c r="B37" s="122" t="s">
        <v>233</v>
      </c>
      <c r="C37" s="40">
        <f>C32+C33+C34-C35-C36</f>
        <v>18187062.419813827</v>
      </c>
      <c r="E37" s="40">
        <f>E32+E33+E34-E35-E36</f>
        <v>17545052.859008305</v>
      </c>
    </row>
    <row r="38" spans="1:10" ht="14.25" customHeight="1" x14ac:dyDescent="0.45">
      <c r="B38" s="34" t="s">
        <v>42</v>
      </c>
      <c r="C38" s="21">
        <f>WACC!$C$16</f>
        <v>228395.42339143375</v>
      </c>
      <c r="E38" s="21">
        <f>WACC!$C$16</f>
        <v>228395.42339143375</v>
      </c>
    </row>
    <row r="39" spans="1:10" ht="14.25" customHeight="1" x14ac:dyDescent="0.45">
      <c r="B39" s="122" t="s">
        <v>234</v>
      </c>
      <c r="C39" s="140">
        <f>C37/C38</f>
        <v>79.629714771666286</v>
      </c>
      <c r="E39" s="140">
        <f>E37/E38</f>
        <v>76.81875844306586</v>
      </c>
    </row>
    <row r="40" spans="1:10" ht="14.25" customHeight="1" x14ac:dyDescent="0.45">
      <c r="B40" s="34" t="s">
        <v>25</v>
      </c>
      <c r="C40" s="141">
        <f>WACC!$C$15</f>
        <v>60.47</v>
      </c>
      <c r="E40" s="141">
        <f>WACC!$C$15</f>
        <v>60.47</v>
      </c>
    </row>
    <row r="41" spans="1:10" ht="14.25" customHeight="1" x14ac:dyDescent="0.45">
      <c r="B41" s="122" t="s">
        <v>34</v>
      </c>
      <c r="C41" s="16">
        <f>C39/C40-1</f>
        <v>0.31684661438178074</v>
      </c>
      <c r="E41" s="16">
        <f>E39/E40-1</f>
        <v>0.27036147582381109</v>
      </c>
    </row>
    <row r="43" spans="1:10" ht="14.25" customHeight="1" x14ac:dyDescent="0.45">
      <c r="A43" s="116"/>
      <c r="B43" s="157" t="s">
        <v>235</v>
      </c>
      <c r="C43" s="157"/>
      <c r="D43" s="157"/>
      <c r="E43" s="157"/>
      <c r="F43" s="157"/>
      <c r="G43" s="157"/>
      <c r="H43" s="157"/>
      <c r="I43" s="157"/>
      <c r="J43" s="157"/>
    </row>
    <row r="44" spans="1:10" ht="14.25" customHeight="1" x14ac:dyDescent="0.45">
      <c r="B44" s="34" t="s">
        <v>236</v>
      </c>
      <c r="C44" s="142">
        <f>C26/E28</f>
        <v>11.876566555043519</v>
      </c>
    </row>
    <row r="45" spans="1:10" ht="14.25" customHeight="1" x14ac:dyDescent="0.45">
      <c r="B45" s="34" t="s">
        <v>237</v>
      </c>
      <c r="E45" s="19">
        <f>(WACC!$C$24*E30-C24)/(E30+C24)</f>
        <v>1.9696420855439593E-2</v>
      </c>
    </row>
    <row r="47" spans="1:10" ht="14.25" customHeight="1" x14ac:dyDescent="0.45">
      <c r="A47" s="116"/>
      <c r="B47" s="157" t="s">
        <v>238</v>
      </c>
      <c r="C47" s="157"/>
      <c r="D47" s="157"/>
      <c r="E47" s="157"/>
      <c r="F47" s="157"/>
      <c r="G47" s="157"/>
      <c r="H47" s="157"/>
      <c r="I47" s="157"/>
      <c r="J47" s="157"/>
    </row>
    <row r="48" spans="1:10" ht="14.25" customHeight="1" x14ac:dyDescent="0.45">
      <c r="B48" s="130" t="s">
        <v>239</v>
      </c>
      <c r="D48" s="143">
        <f>C25+(-0.005)</f>
        <v>0.02</v>
      </c>
      <c r="E48" s="143">
        <f>C25+(-0.0025)</f>
        <v>2.2500000000000003E-2</v>
      </c>
      <c r="F48" s="143">
        <f>C25+(0)</f>
        <v>2.5000000000000001E-2</v>
      </c>
      <c r="G48" s="143">
        <f>C25+(0.0025)</f>
        <v>2.75E-2</v>
      </c>
      <c r="H48" s="143">
        <f>C25+(0.005)</f>
        <v>3.0000000000000002E-2</v>
      </c>
    </row>
    <row r="49" spans="1:10" ht="14.25" customHeight="1" x14ac:dyDescent="0.45">
      <c r="C49" s="144">
        <f>WACC!$C$24+(-0.01)</f>
        <v>8.6571990679904801E-2</v>
      </c>
      <c r="D49" s="145">
        <f>(NPV($C$49,$G$14:$T$14)+($T$14*(1+D$48))/($C$49-D$48)/(1+$C$49)^$T$17+$C$33+$C$34-$C$35-$C$36)/$C$38</f>
        <v>90.986259867677802</v>
      </c>
      <c r="E49" s="145">
        <f>(NPV($C$49,$G$14:$T$14)+($T$14*(1+E$48))/($C$49-E$48)/(1+$C$49)^$T$17+$C$33+$C$34-$C$35-$C$36)/$C$38</f>
        <v>92.911651564308386</v>
      </c>
      <c r="F49" s="145">
        <f>(NPV($C$49,$G$14:$T$14)+($T$14*(1+F$48))/($C$49-F$48)/(1+$C$49)^$T$17+$C$33+$C$34-$C$35-$C$36)/$C$38</f>
        <v>94.993396147646862</v>
      </c>
      <c r="G49" s="145">
        <f>(NPV($C$49,$G$14:$T$14)+($T$14*(1+G$48))/($C$49-G$48)/(1+$C$49)^$T$17+$C$33+$C$34-$C$35-$C$36)/$C$38</f>
        <v>97.251344762657382</v>
      </c>
      <c r="H49" s="145">
        <f>(NPV($C$49,$G$14:$T$14)+($T$14*(1+H$48))/($C$49-H$48)/(1+$C$49)^$T$17+$C$33+$C$34-$C$35-$C$36)/$C$38</f>
        <v>99.708857560214184</v>
      </c>
    </row>
    <row r="50" spans="1:10" ht="14.25" customHeight="1" x14ac:dyDescent="0.45">
      <c r="C50" s="144">
        <f>WACC!$C$24+(-0.005)</f>
        <v>9.1571990679904791E-2</v>
      </c>
      <c r="D50" s="145">
        <f>(NPV($C$50,$G$14:$T$14)+($T$14*(1+D$48))/($C$50-D$48)/(1+$C$50)^$T$17+$C$33+$C$34-$C$35-$C$36)/$C$38</f>
        <v>83.469741514974388</v>
      </c>
      <c r="E50" s="145">
        <f>(NPV($C$50,$G$14:$T$14)+($T$14*(1+E$48))/($C$50-E$48)/(1+$C$50)^$T$17+$C$33+$C$34-$C$35-$C$36)/$C$38</f>
        <v>85.034738040903818</v>
      </c>
      <c r="F50" s="145">
        <f>(NPV($C$50,$G$14:$T$14)+($T$14*(1+F$48))/($C$50-F$48)/(1+$C$50)^$T$17+$C$33+$C$34-$C$35-$C$36)/$C$38</f>
        <v>86.717276231874791</v>
      </c>
      <c r="G50" s="145">
        <f>(NPV($C$50,$G$14:$T$14)+($T$14*(1+G$48))/($C$50-G$48)/(1+$C$50)^$T$17+$C$33+$C$34-$C$35-$C$36)/$C$38</f>
        <v>88.531115024958851</v>
      </c>
      <c r="H50" s="145">
        <f>(NPV($C$50,$G$14:$T$14)+($T$14*(1+H$48))/($C$50-H$48)/(1+$C$50)^$T$17+$C$33+$C$34-$C$35-$C$36)/$C$38</f>
        <v>90.492247966977757</v>
      </c>
    </row>
    <row r="51" spans="1:10" ht="14.25" customHeight="1" x14ac:dyDescent="0.45">
      <c r="C51" s="144">
        <f>WACC!$C$24+(0)</f>
        <v>9.6571990679904796E-2</v>
      </c>
      <c r="D51" s="145">
        <f>(NPV($C$51,$G$14:$T$14)+($T$14*(1+D$48))/($C$51-D$48)/(1+$C$51)^$T$17+$C$33+$C$34-$C$35-$C$36)/$C$38</f>
        <v>76.969152313438471</v>
      </c>
      <c r="E51" s="145">
        <f>(NPV($C$51,$G$14:$T$14)+($T$14*(1+E$48))/($C$51-E$48)/(1+$C$51)^$T$17+$C$33+$C$34-$C$35-$C$36)/$C$38</f>
        <v>78.254535288269508</v>
      </c>
      <c r="F51" s="145">
        <f>(NPV($C$51,$G$14:$T$14)+($T$14*(1+F$48))/($C$51-F$48)/(1+$C$51)^$T$17+$C$33+$C$34-$C$35-$C$36)/$C$38</f>
        <v>79.629714771666286</v>
      </c>
      <c r="G51" s="145">
        <f>(NPV($C$51,$G$14:$T$14)+($T$14*(1+G$48))/($C$51-G$48)/(1+$C$51)^$T$17+$C$33+$C$34-$C$35-$C$36)/$C$38</f>
        <v>81.104441080763365</v>
      </c>
      <c r="H51" s="145">
        <f>(NPV($C$51,$G$14:$T$14)+($T$14*(1+H$48))/($C$51-H$48)/(1+$C$51)^$T$17+$C$33+$C$34-$C$35-$C$36)/$C$38</f>
        <v>82.689929160241292</v>
      </c>
    </row>
    <row r="52" spans="1:10" ht="14.25" customHeight="1" x14ac:dyDescent="0.45">
      <c r="C52" s="144">
        <f>WACC!$C$24+(0.005)</f>
        <v>0.1015719906799048</v>
      </c>
      <c r="D52" s="145">
        <f>(NPV($C$52,$G$14:$T$14)+($T$14*(1+D$48))/($C$52-D$48)/(1+$C$52)^$T$17+$C$33+$C$34-$C$35-$C$36)/$C$38</f>
        <v>71.296452923541636</v>
      </c>
      <c r="E52" s="145">
        <f>(NPV($C$52,$G$14:$T$14)+($T$14*(1+E$48))/($C$52-E$48)/(1+$C$52)^$T$17+$C$33+$C$34-$C$35-$C$36)/$C$38</f>
        <v>72.361841891567892</v>
      </c>
      <c r="F52" s="145">
        <f>(NPV($C$52,$G$14:$T$14)+($T$14*(1+F$48))/($C$52-F$48)/(1+$C$52)^$T$17+$C$33+$C$34-$C$35-$C$36)/$C$38</f>
        <v>73.496798658378424</v>
      </c>
      <c r="G52" s="145">
        <f>(NPV($C$52,$G$14:$T$14)+($T$14*(1+G$48))/($C$52-G$48)/(1+$C$52)^$T$17+$C$33+$C$34-$C$35-$C$36)/$C$38</f>
        <v>74.70836716171668</v>
      </c>
      <c r="H52" s="145">
        <f>(NPV($C$52,$G$14:$T$14)+($T$14*(1+H$48))/($C$52-H$48)/(1+$C$52)^$T$17+$C$33+$C$34-$C$35-$C$36)/$C$38</f>
        <v>76.004575514514826</v>
      </c>
    </row>
    <row r="53" spans="1:10" ht="14.25" customHeight="1" x14ac:dyDescent="0.45">
      <c r="C53" s="144">
        <f>WACC!$C$24+(0.01)</f>
        <v>0.10657199067990479</v>
      </c>
      <c r="D53" s="145">
        <f>(NPV($C$53,$G$14:$T$14)+($T$14*(1+D$48))/($C$53-D$48)/(1+$C$53)^$T$17+$C$33+$C$34-$C$35-$C$36)/$C$38</f>
        <v>66.307099107272307</v>
      </c>
      <c r="E53" s="145">
        <f>(NPV($C$53,$G$14:$T$14)+($T$14*(1+E$48))/($C$53-E$48)/(1+$C$53)^$T$17+$C$33+$C$34-$C$35-$C$36)/$C$38</f>
        <v>67.197273184775483</v>
      </c>
      <c r="F53" s="145">
        <f>(NPV($C$53,$G$14:$T$14)+($T$14*(1+F$48))/($C$53-F$48)/(1+$C$53)^$T$17+$C$33+$C$34-$C$35-$C$36)/$C$38</f>
        <v>68.142010971591361</v>
      </c>
      <c r="G53" s="145">
        <f>(NPV($C$53,$G$14:$T$14)+($T$14*(1+G$48))/($C$53-G$48)/(1+$C$53)^$T$17+$C$33+$C$34-$C$35-$C$36)/$C$38</f>
        <v>69.146487850511321</v>
      </c>
      <c r="H53" s="145">
        <f>(NPV($C$53,$G$14:$T$14)+($T$14*(1+H$48))/($C$53-H$48)/(1+$C$53)^$T$17+$C$33+$C$34-$C$35-$C$36)/$C$38</f>
        <v>70.216555088908734</v>
      </c>
    </row>
    <row r="57" spans="1:10" ht="14.25" customHeight="1" x14ac:dyDescent="0.45">
      <c r="A57" s="116"/>
      <c r="B57" s="157" t="s">
        <v>240</v>
      </c>
      <c r="C57" s="157"/>
      <c r="D57" s="157"/>
      <c r="E57" s="157"/>
      <c r="F57" s="157"/>
      <c r="G57" s="157"/>
      <c r="H57" s="157"/>
      <c r="I57" s="157"/>
      <c r="J57" s="157"/>
    </row>
    <row r="58" spans="1:10" ht="14.25" customHeight="1" x14ac:dyDescent="0.45">
      <c r="B58" s="146" t="s">
        <v>6</v>
      </c>
      <c r="C58" s="147" t="s">
        <v>7</v>
      </c>
      <c r="D58" s="147" t="s">
        <v>8</v>
      </c>
      <c r="E58" s="147" t="s">
        <v>241</v>
      </c>
    </row>
    <row r="59" spans="1:10" ht="14.25" customHeight="1" x14ac:dyDescent="0.45">
      <c r="B59" s="34" t="s">
        <v>242</v>
      </c>
      <c r="C59" s="148">
        <v>42.25</v>
      </c>
      <c r="D59" s="148">
        <v>103</v>
      </c>
      <c r="E59" s="149">
        <f>D59-C59</f>
        <v>60.75</v>
      </c>
      <c r="F59" s="18" t="s">
        <v>243</v>
      </c>
    </row>
    <row r="60" spans="1:10" ht="14.25" customHeight="1" x14ac:dyDescent="0.45">
      <c r="B60" s="34" t="s">
        <v>244</v>
      </c>
      <c r="C60" s="149">
        <f>MIN(D49:H53)</f>
        <v>66.307099107272307</v>
      </c>
      <c r="D60" s="149">
        <f>MAX(D49:H53)</f>
        <v>99.708857560214184</v>
      </c>
      <c r="E60" s="149">
        <f>D60-C60</f>
        <v>33.401758452941877</v>
      </c>
    </row>
    <row r="61" spans="1:10" ht="14.25" customHeight="1" x14ac:dyDescent="0.45">
      <c r="B61" s="34" t="s">
        <v>245</v>
      </c>
      <c r="C61" s="141">
        <f>(C23+(E28*G61)/(1+WACC!$C$24)^T17+C33+C34-C35-C36)/C38</f>
        <v>70.405197915512147</v>
      </c>
      <c r="D61" s="141">
        <f>(C23+(E28*H61)/(1+WACC!$C$24)^T17+C33+C34-C35-C36)/C38</f>
        <v>83.232318970619588</v>
      </c>
      <c r="E61" s="149">
        <f>D61-C61</f>
        <v>12.82712105510744</v>
      </c>
      <c r="G61" s="138">
        <v>9</v>
      </c>
      <c r="H61" s="138">
        <v>13</v>
      </c>
      <c r="I61" s="18"/>
    </row>
    <row r="62" spans="1:10" x14ac:dyDescent="0.45">
      <c r="G62" s="150" t="s">
        <v>246</v>
      </c>
      <c r="H62" s="150" t="s">
        <v>247</v>
      </c>
    </row>
    <row r="63" spans="1:10" ht="14.25" customHeight="1" x14ac:dyDescent="0.45">
      <c r="B63" s="122" t="s">
        <v>25</v>
      </c>
      <c r="C63" s="141">
        <f>WACC!$C$15</f>
        <v>60.47</v>
      </c>
    </row>
  </sheetData>
  <mergeCells count="7">
    <mergeCell ref="B47:J47"/>
    <mergeCell ref="B57:J57"/>
    <mergeCell ref="B1:T1"/>
    <mergeCell ref="B3:T3"/>
    <mergeCell ref="B16:T16"/>
    <mergeCell ref="B21:J21"/>
    <mergeCell ref="B43:J4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IS</vt:lpstr>
      <vt:lpstr>BS</vt:lpstr>
      <vt:lpstr>CFS</vt:lpstr>
      <vt:lpstr>WACC</vt:lpstr>
      <vt:lpstr>DCF</vt:lpstr>
      <vt:lpstr>IS!Print_Titles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boscoy.yu@mail.utoronto.ca</dc:creator>
  <dc:description/>
  <cp:lastModifiedBy>Bosco Yu</cp:lastModifiedBy>
  <cp:revision>13</cp:revision>
  <cp:lastPrinted>2026-05-20T21:45:49Z</cp:lastPrinted>
  <dcterms:created xsi:type="dcterms:W3CDTF">2026-05-11T23:04:16Z</dcterms:created>
  <dcterms:modified xsi:type="dcterms:W3CDTF">2026-10-28T09:48:52Z</dcterms:modified>
  <dc:language>en-US</dc:language>
</cp:coreProperties>
</file>